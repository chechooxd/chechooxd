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3"/>
  <workbookPr/>
  <mc:AlternateContent xmlns:mc="http://schemas.openxmlformats.org/markup-compatibility/2006">
    <mc:Choice Requires="x15">
      <x15ac:absPath xmlns:x15ac="http://schemas.microsoft.com/office/spreadsheetml/2010/11/ac" url="https://bciseguros.sharepoint.com/sites/SistemasClientesGestinrea/Documentos compartidos/Sistemas Atención Clientes/Equipo App móvil &amp; Ecosistemas/"/>
    </mc:Choice>
  </mc:AlternateContent>
  <xr:revisionPtr revIDLastSave="0" documentId="8_{9BD798FF-A0F7-4F6A-8091-B0F5C5B39E36}" xr6:coauthVersionLast="47" xr6:coauthVersionMax="47" xr10:uidLastSave="{00000000-0000-0000-0000-000000000000}"/>
  <bookViews>
    <workbookView xWindow="-120" yWindow="-120" windowWidth="38640" windowHeight="15720" tabRatio="500" firstSheet="2" activeTab="2" xr2:uid="{00000000-000D-0000-FFFF-FFFF00000000}"/>
  </bookViews>
  <sheets>
    <sheet name="Q de registros" sheetId="4" r:id="rId1"/>
    <sheet name="Q x colaborador" sheetId="5" r:id="rId2"/>
    <sheet name="Registro Diario" sheetId="1" r:id="rId3"/>
    <sheet name="Resumen" sheetId="2" r:id="rId4"/>
    <sheet name="Instructivo" sheetId="3" r:id="rId5"/>
  </sheets>
  <definedNames>
    <definedName name="_xlnm._FilterDatabase" localSheetId="2" hidden="1">'Registro Diario'!$A$1:$V$519</definedName>
  </definedNames>
  <calcPr calcId="191028"/>
  <pivotCaches>
    <pivotCache cacheId="89"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52" i="2" l="1"/>
  <c r="B51" i="2"/>
  <c r="B50" i="2"/>
  <c r="B49" i="2"/>
  <c r="B48" i="2"/>
  <c r="B47" i="2"/>
  <c r="B44" i="2"/>
  <c r="B43" i="2"/>
  <c r="B42" i="2"/>
  <c r="B41" i="2"/>
  <c r="B40" i="2"/>
  <c r="B39" i="2"/>
  <c r="B38" i="2"/>
  <c r="B37" i="2"/>
  <c r="B36" i="2"/>
  <c r="B33" i="2"/>
  <c r="B32" i="2"/>
  <c r="B31" i="2"/>
  <c r="B30" i="2"/>
  <c r="B29" i="2"/>
  <c r="B26" i="2"/>
  <c r="B25" i="2"/>
  <c r="B24" i="2"/>
  <c r="B23" i="2"/>
  <c r="B22" i="2"/>
  <c r="B21" i="2"/>
  <c r="B20" i="2"/>
  <c r="B19" i="2"/>
  <c r="B18" i="2"/>
  <c r="B17" i="2"/>
  <c r="B14" i="2"/>
  <c r="B13" i="2"/>
  <c r="B12" i="2"/>
  <c r="B9" i="2"/>
  <c r="B8" i="2"/>
  <c r="B7" i="2"/>
  <c r="B6" i="2"/>
  <c r="B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tc={131ECB47-C512-4662-9E02-E73012DD2824}</author>
  </authors>
  <commentList>
    <comment ref="K1" authorId="0" shapeId="0" xr:uid="{131ECB47-C512-4662-9E02-E73012DD2824}">
      <text>
        <t>[Threaded comment]
Your version of Excel allows you to read this threaded comment; however, any edits to it will get removed if the file is opened in a newer version of Excel. Learn more: https://go.microsoft.com/fwlink/?linkid=870924
Comment:
    0 = Sin información o detalle de los tokens consumidos</t>
      </text>
    </comment>
  </commentList>
</comments>
</file>

<file path=xl/sharedStrings.xml><?xml version="1.0" encoding="utf-8"?>
<sst xmlns="http://schemas.openxmlformats.org/spreadsheetml/2006/main" count="1647" uniqueCount="432">
  <si>
    <t>Etiquetas de fila</t>
  </si>
  <si>
    <t>Cuenta de Tarea / Contexto</t>
  </si>
  <si>
    <t>ago</t>
  </si>
  <si>
    <t>11-ago</t>
  </si>
  <si>
    <t>14-ago</t>
  </si>
  <si>
    <t>18-ago</t>
  </si>
  <si>
    <t>20-ago</t>
  </si>
  <si>
    <t>21-ago</t>
  </si>
  <si>
    <t>25-ago</t>
  </si>
  <si>
    <t>26-ago</t>
  </si>
  <si>
    <t>27-ago</t>
  </si>
  <si>
    <t>28-ago</t>
  </si>
  <si>
    <t>31-ago</t>
  </si>
  <si>
    <t>sept</t>
  </si>
  <si>
    <t>02-sept</t>
  </si>
  <si>
    <t>04-sept</t>
  </si>
  <si>
    <t>07-sept</t>
  </si>
  <si>
    <t>08-sept</t>
  </si>
  <si>
    <t>09-sept</t>
  </si>
  <si>
    <t>10-sept</t>
  </si>
  <si>
    <t>Total general</t>
  </si>
  <si>
    <t>Dennisse Cannobbio</t>
  </si>
  <si>
    <t>Jerson Pacheco</t>
  </si>
  <si>
    <t>Manuel Zamorano</t>
  </si>
  <si>
    <t>Moises Lagos</t>
  </si>
  <si>
    <t>Sergio Galaz</t>
  </si>
  <si>
    <t>Fecha</t>
  </si>
  <si>
    <t>Colaborador</t>
  </si>
  <si>
    <t>Rol</t>
  </si>
  <si>
    <t>Equipo</t>
  </si>
  <si>
    <t>Tarea / Contexto</t>
  </si>
  <si>
    <t>Herramienta IA</t>
  </si>
  <si>
    <t>Modelo</t>
  </si>
  <si>
    <t>Nivel de razonamiento</t>
  </si>
  <si>
    <t>MCP</t>
  </si>
  <si>
    <t>Tipo de uso</t>
  </si>
  <si>
    <t>Tokens consumidos</t>
  </si>
  <si>
    <t>Tiempo invertido (min)</t>
  </si>
  <si>
    <t>Tiempo estimado ahorrado (min)</t>
  </si>
  <si>
    <t>Resultado</t>
  </si>
  <si>
    <t>Confianza en el output (1-5)</t>
  </si>
  <si>
    <t>¿Requirió validación humana?</t>
  </si>
  <si>
    <t>Descripción</t>
  </si>
  <si>
    <t>Problemas encontrados</t>
  </si>
  <si>
    <t>Aprendizajes / Insights</t>
  </si>
  <si>
    <t>Riesgo identificado</t>
  </si>
  <si>
    <t>Sugerencias de mejora</t>
  </si>
  <si>
    <t>Etiquetas</t>
  </si>
  <si>
    <t>LT</t>
  </si>
  <si>
    <t>Ecosistemas</t>
  </si>
  <si>
    <t>Desarrollo</t>
  </si>
  <si>
    <t>GitHub Copilot Agent Skills</t>
  </si>
  <si>
    <t>Medio</t>
  </si>
  <si>
    <t>No aplica</t>
  </si>
  <si>
    <t>Generación de código</t>
  </si>
  <si>
    <t>80% de la sesion</t>
  </si>
  <si>
    <t>Se refactorizo componentes de angular para proyecto backoffice cupones</t>
  </si>
  <si>
    <t>Ninguno</t>
  </si>
  <si>
    <t>DEV</t>
  </si>
  <si>
    <t>Google Antigravity</t>
  </si>
  <si>
    <t>Gemini pro 3.1</t>
  </si>
  <si>
    <t>Alto</t>
  </si>
  <si>
    <t xml:space="preserve">No aplica </t>
  </si>
  <si>
    <t>Parcial</t>
  </si>
  <si>
    <t>Sí</t>
  </si>
  <si>
    <t>Optimizaciones para apitrazabilidad. Netamente para abordar estos caso, se realizó de manera manual y a la vez, copiando y pegando código en chat de gemini web. La tarea tomó una semana y se estima que se ahorró 3 días de desarrollo.</t>
  </si>
  <si>
    <t xml:space="preserve">Resultados carentes de precisión. </t>
  </si>
  <si>
    <t>Utilizar el chat web proporcionando archivos directamente en el chat del navegador entrega resultados imprecisos y poco óptimos. No se ahorra tanto tiempo mediante este método y agota rápidamente la cuota de tokens.</t>
  </si>
  <si>
    <t>Calidad o precisión</t>
  </si>
  <si>
    <t>Usar entorno de desarrollo agéntico para desarrollar en conjunto con IA.</t>
  </si>
  <si>
    <t>App &amp; Ecosistemas</t>
  </si>
  <si>
    <t>Desarrollo fullstack para funcionalidad de notificaciones para cupones. Se desarrollo de forma híbrida, vibecoding, copiando y pegando código a través de gemini web y de manera manual. Tarea de tamaño XL que se redujo a 4 días.</t>
  </si>
  <si>
    <t xml:space="preserve">De manera parcial el desarrollo fue asistido por IA, a prueba y error, por lo que en ocasiones el resultado no fue preciso, de la misma forma se iteró varias veces. </t>
  </si>
  <si>
    <t>Para este caso fue necesario un desarrollo guiado para usar la IA.</t>
  </si>
  <si>
    <t>Utilizar metodología para el uso de herramientas IA. Reducir vicoding, no realizar desarrollo parcial de manera manual.</t>
  </si>
  <si>
    <t>Otro</t>
  </si>
  <si>
    <t>Claude (chat web)</t>
  </si>
  <si>
    <t>Sonnet 5, plan Pro</t>
  </si>
  <si>
    <t>Documentación técnica</t>
  </si>
  <si>
    <t>5 % de la sesion</t>
  </si>
  <si>
    <t>Exito</t>
  </si>
  <si>
    <t>Si</t>
  </si>
  <si>
    <t>Investigacion a alto nivel sobre Spec Driven Development, frameworks de implementacion (openspec, spec pulse, github spec kit)</t>
  </si>
  <si>
    <t>Investigacion</t>
  </si>
  <si>
    <t>Análisis</t>
  </si>
  <si>
    <t>Claude Code / GitHub Copilot Chat</t>
  </si>
  <si>
    <t>Claude 3.5 Sonnet</t>
  </si>
  <si>
    <t>Éxito</t>
  </si>
  <si>
    <t>Spec-Kit requiere un overhead de diseño inicial extremo y acoplamiento alto. Superpowers es demasiado invasivo en cambios visuales o ajustes menores.</t>
  </si>
  <si>
    <t>Elegimos OpenSpec por su naturaleza abierta, modular y su enfoque brownfield-first que permite documentar solo las "Delta Specs" de lo que vamos a modificar, sin "hervir el océano" de golpe.</t>
  </si>
  <si>
    <t>Resistencia inicial de la célula ante un flujo formal que requiere escribir propuesta, diseño y especificación antes de codificar.</t>
  </si>
  <si>
    <t>Adaptar OpenSpec de forma incremental en el equipo, empezando por HU de tamaño medio.</t>
  </si>
  <si>
    <t>SDD, OpenSpec, Spec-Kit, Superpowers, Benchmarking</t>
  </si>
  <si>
    <t>Informes, Presentación, Uso de patrones</t>
  </si>
  <si>
    <t>Diseño en frontend para pantalla de listado de notificación.Tarea de 2.5 días se realizó en 2 días. Se desarrolló a modo de vibecoding y desarrollo parcial mediante chat de gemini web.</t>
  </si>
  <si>
    <t>Resultados poco precisos, se enviaron capturas de figma a antigravity y chat de gemini web. En las primeras iteraciones, los resultados fueron parciales, para resolver estilos, se hizo mediante vibecoding y de manera manual.</t>
  </si>
  <si>
    <t>Estructurar de mejor forma las especificaciones para maquetado.</t>
  </si>
  <si>
    <t>Luis Martinez</t>
  </si>
  <si>
    <t>Microsoft Copilot</t>
  </si>
  <si>
    <t>Claude Sonnet 5</t>
  </si>
  <si>
    <t>Análisis de requerimientos</t>
  </si>
  <si>
    <t>10% de la session</t>
  </si>
  <si>
    <t>Se solicito analisis de tarea en el cual se solicita un refactor de encolamiento de trazabilidades</t>
  </si>
  <si>
    <t>Manejo de comando explorer del modelo para enviar prompt</t>
  </si>
  <si>
    <t>Exploracion de codigo y analisis</t>
  </si>
  <si>
    <t>No</t>
  </si>
  <si>
    <t>Implementación de funcionalidad de buscador de periodo en listado de notificación. Tarea fullstack. Se realizó de manera híbrida, mediante vibecoding y manual.</t>
  </si>
  <si>
    <t>Gemini 3.8 flash</t>
  </si>
  <si>
    <t>33% de la sesión</t>
  </si>
  <si>
    <t>Implementación de auditoría y logging en backend.</t>
  </si>
  <si>
    <t>GPT 5.6 Terra</t>
  </si>
  <si>
    <t>334.5</t>
  </si>
  <si>
    <t>Planificación y especificación de refactor para manejo de fechas en UTC</t>
  </si>
  <si>
    <t>Analisis de requerimientos</t>
  </si>
  <si>
    <t>37% de la sesión</t>
  </si>
  <si>
    <t>Implementación de código para refactor de fecha UCT</t>
  </si>
  <si>
    <t>Se demoró más de lo normal la generación de código, aunque la implementación fue correcta. Causa sin determinar</t>
  </si>
  <si>
    <t>30% de la sesion</t>
  </si>
  <si>
    <t>Implementación de conversión de fecha UTC a hora local en frontend.</t>
  </si>
  <si>
    <t>Para las notificaciones con estado "Enviada", no formateo correctamente la hora(AM/PM)</t>
  </si>
  <si>
    <t>Especificar al detalle.</t>
  </si>
  <si>
    <t>Refactor</t>
  </si>
  <si>
    <t>306.2</t>
  </si>
  <si>
    <t>Análisis para refactorizar procesamiento de carga push, mejorando transacciones y consultas a base de datos, y mejorando tiempos de carga.</t>
  </si>
  <si>
    <t>25% de la sesión</t>
  </si>
  <si>
    <t>Implementación refactorización procesamiento de carga. Originalmente, con 50000 registros la carga demoraba 40 minutos, con la nueva optimización tomó 29 minutos.</t>
  </si>
  <si>
    <t>Documentación</t>
  </si>
  <si>
    <t>Claude Code</t>
  </si>
  <si>
    <t>El equipo técnico no tiene claro cómo interactuar con los comandos /opsx: dentro del chat de la IA frente a la consola.</t>
  </si>
  <si>
    <t>Se definió claramente que los comandos /opsx:propose, /opsx:apply y /opsx:archive se ejecutan exclusivamente en la interfaz de chat del asistente, mientras que openspec init corre en la terminal física de la laptop.</t>
  </si>
  <si>
    <t>Confusión en los comandos locales de la terminal vs comandos de chat de la IA.</t>
  </si>
  <si>
    <t>Crear un manual ilustrativo rápido para el onboarding de nuevos desarrolladores.</t>
  </si>
  <si>
    <t>SDD, OpenSpec, Onboarding, Procesos</t>
  </si>
  <si>
    <t>GitHub Copilot Chat</t>
  </si>
  <si>
    <t>Implementación de paginación para listado de notificaciones en backend. Se utilizó el chat integrado de visual studio insiders con copilot en modalidad vibecoding.</t>
  </si>
  <si>
    <t>Reducir vibecoding.</t>
  </si>
  <si>
    <t>Implementación de funcionalidad para listado de notificación, integrando servicios backend en frontend. Se desarrolla en modalidad vibecoding.</t>
  </si>
  <si>
    <t>Resultados con impresiciones. Se tuvo que iterar más de una vez en modalidad vibecoding para refinar resultados.</t>
  </si>
  <si>
    <t>Procurar especificar requerimientos técnicos para mejorar resultados generados.</t>
  </si>
  <si>
    <t>Reducir vibecoding, mejorar especificación.</t>
  </si>
  <si>
    <t>Endpoint para reporte. En ese momento no se utilizaba openspec para el desarrollo guiado. Se abordó con análisis y generación de código a la vez mediante vibecoding</t>
  </si>
  <si>
    <t>Análisis / Generación de código</t>
  </si>
  <si>
    <t>GitHub Copilot CLI / VS Code</t>
  </si>
  <si>
    <t>El uso de prompts planos en CLAUDE.md solo logra un ~80% de conformidad ante restricciones críticas.</t>
  </si>
  <si>
    <t>Para lograr un 100% de cumplimiento determinista, es obligatorio configurar ganchos mecánicos a nivel de sistema (PostToolUse y PreToolUse) para compilar el código en caliente y bloquear el flujo si la sintaxis falla.</t>
  </si>
  <si>
    <t>Degradación de rendimiento si las validaciones del hook post-guardado tardan más de 5 segundos.</t>
  </si>
  <si>
    <t>Implementar scripts de validación ultra-rápidos que solo analicen los archivos en estado "staged".</t>
  </si>
  <si>
    <t>Hooks, Copilot CLI, Automatización, Calidad, Inspiración-Gentle-AI</t>
  </si>
  <si>
    <t>Gemini pro 3.1 / Opus 4.6</t>
  </si>
  <si>
    <t>Reporte UI en frontend, utilizando gráficos</t>
  </si>
  <si>
    <t>Gemini pro 3.1 no pudo ejecutar correctamente la UI, o formó bien le gráfico ni los estilos por sección. Opus 4.6 armó mejor la vista pero con un resultado parcial. Finalmente, se aplica vibecoding para terminar con la vista desarrollada correctamente.</t>
  </si>
  <si>
    <t xml:space="preserve">Opus 4.6 entregó un resultado más concreto, aunque parcial, el modelo opus demostró funcionar mejor en este caso. </t>
  </si>
  <si>
    <t>Asegurarse que al ejecutar desarrollos con antigravity, que use las skills de diseño, indicando su uso explícitamente para mejores resultados.</t>
  </si>
  <si>
    <t>Claude Opus 4.5</t>
  </si>
  <si>
    <t>Muy Alto</t>
  </si>
  <si>
    <t>No aplica (Se evaluó Engram MCP para inspiración pero se descartó su uso)</t>
  </si>
  <si>
    <t>El desborde del contexto de tokens (*context rot*) provoca que el agente olvide las decisiones de diseño arquitectónico.</t>
  </si>
  <si>
    <t>Se estudió Engram MCP como inspiración para entender la estructuración de observaciones. Para evitar dependencias locales pesadas, no se implementó. Diseñamos una persistencia pura basada en Git, guardando planes en archivos Markdown (tasks.md, design.md).</t>
  </si>
  <si>
    <t>Amnesia técnica si las conversaciones se alargan sin un plan persistente en Markdown.</t>
  </si>
  <si>
    <t>Forzar al agente a documentar decisiones de diseño directamente en Git utilizando design.md y tasks.md para persistir el conocimiento.</t>
  </si>
  <si>
    <t>Orquestación, Planificación, Contexto, Git, Inspiración-Engram</t>
  </si>
  <si>
    <t>Claude Opus 5</t>
  </si>
  <si>
    <t>El agente de arquitectura era genérico (fronteras controller/service/repository) y no distinguía los patrones propios de Angular. Además asumía contratos del backend sin evidencia, lo que llevaba a diseñar sobre suposiciones no validadas.</t>
  </si>
  <si>
    <t>Restringir las herramientas en el frontmatter convierte "no implementes código" de instrucción blanda en restricción estructural. Se formalizó el protocolo BQ-&lt;n&gt; en backend-questions.md con campos status, category, question, why y needed-detail, prohibiendo inferir forma de payloads, códigos de error, paginación o auth. Ninguna recomendación de diseño puede darse por final si depende de un BQ en estado open.</t>
  </si>
  <si>
    <t>Que el equipo responda un BQ de forma especulativa y se termine diseñando sobre una suposición igual de frágil que la original.</t>
  </si>
  <si>
    <t>Exigir que toda respuesta a un BQ se verifique contra el código real del repo backend antes de marcarla como answered.</t>
  </si>
  <si>
    <t>Agentes, Angular 20, NgRx Signal Store, Contrato API, Protocolo BQ</t>
  </si>
  <si>
    <t>Pivoteado</t>
  </si>
  <si>
    <t>Se estaba diseñando un orquestador con agentes por fase (proposal, spec, design, verify, archive) que reimplementaba a mano lo que OpenSpec ya genera de forma nativa y conectada a la CLI real.</t>
  </si>
  <si>
    <t>openspec init con target github-copilot ya genera skills para todo el ciclo (new-change, continue-change, apply-change, verify-change, archive-change, explore, propose, ff-change, sync-specs, update-change, bulk-archive, onboard). La skill continue-change crea UN artefacto por invocación y se detiene esperando confirmación: eso YA es el gate humano, por lo que un orquestador con handoffs resultaba ceremonia redundante. Se descartó el enfoque de sdd-orchestrator diseñado ese mismo día.</t>
  </si>
  <si>
    <t>Mantener artefactos custom que dupliquen funcionalidad nativa y que diverjan en cada upgrade de la CLI de OpenSpec.</t>
  </si>
  <si>
    <t>Antes de crear cualquier agente o skill, auditar qué cubre OpenSpec de forma nativa y construir solo sobre los huecos reales comprobados.</t>
  </si>
  <si>
    <t>OpenSpec, Skills nativas, Simplificación, Anti-duplicación</t>
  </si>
  <si>
    <t>openspec-apply-change no impone TDD: su instrucción literal es "make the code changes required", sin exigir RED antes de GREEN. openspec-verify-change es heurístico, basado en búsqueda de keywords en el código, y no ejecuta el test suite ni openspec validate --strict. La skill oficial angular-developer de Google no cubre NgRx Signal Store en absoluto.</t>
  </si>
  <si>
    <t>tdd-apply se implementó como custom agent y no como skill para que la invocación sea determinista (el dev lo elige del dropdown) y no compita con apply-change por auto-descubrimiento. strict-verify envuelve el reporte heurístico y le agrega evidencia real ejecutada. Ninguna task se marca completa sin RED confirmado y suite completa en verde. Se confirmó el stack de testing del frontend: Jasmine + Karma, con npm run test -- --watch=false obligatorio porque ng test corre en modo watch por defecto.</t>
  </si>
  <si>
    <t>Que el desarrollador use openspec-apply-change por comodidad en tasks "triviales" y se pierda la disciplina RED-GREEN justo donde menos se nota.</t>
  </si>
  <si>
    <t>Documentarlo como error común en la guía de desarrolladores y reforzarlo desde copilot-instructions.md, que se inyecta en todos los turnos de chat.</t>
  </si>
  <si>
    <t>TDD, Verificación, Custom agents, Huecos, Evidencia real</t>
  </si>
  <si>
    <t>Error de parseo "Implicit keys need to be on a single line" al escribir strings que contienen dos puntos seguidos de espacio dentro de bullets multilínea sin comillas en la sección rules.</t>
  </si>
  <si>
    <t>config.yaml tiene tres niveles con semántica distinta: context (global, se muestra al crear cualquier artefacto), rules (por artefacto) y operations (apply/archive). context y rules son constraints; operations.guidance es explícitamente advisory, no enforcement duro, y por eso la disciplina TDD real se fuerza desde el agente tdd-apply y no desde el config. En YAML, ": " abre un mapa: todo bullet multilínea debe usar bloque &gt;- o ir entre comillas.</t>
  </si>
  <si>
    <t>Confiar en operations.guidance como si fuera enforcement determinista cuando la propia skill lo describe como consejo opcional.</t>
  </si>
  <si>
    <t>Validar todo YAML con un parser estricto antes de commitear, y documentar qué capas son constraint y cuáles advisory.</t>
  </si>
  <si>
    <t>OpenSpec, config.yaml, YAML, Enforcement, Contexto</t>
  </si>
  <si>
    <t>1599.6 créditos</t>
  </si>
  <si>
    <t>Análisis procesamiento de carga notificaciones push</t>
  </si>
  <si>
    <t>Copilot realizó el análsis y diseñó todo lo que se le solicitó, faltó especificar por parte de desarrollador para llegar con la solución completa.</t>
  </si>
  <si>
    <t>Procurar ser lo más detallista posible en fase de exploración y especificación.</t>
  </si>
  <si>
    <t>Análisis / especificación de requerimientos</t>
  </si>
  <si>
    <t>1066.4 créditos</t>
  </si>
  <si>
    <t>Desarrollo backend, procesamiento de carga notificaciones push</t>
  </si>
  <si>
    <t>Copilot generó todo lo que se le pidió, pero a raíz de las pruebas realizadas se evidenciaron requerimientos técnicos faltantes, por lo que se iteró constantemente para actualizar archivos design.md y task.md, luego aplicar los nuevos cambios. Fue un proceso iterativo.</t>
  </si>
  <si>
    <t>Se debe especificar al detalle para que copilot entregue todo lo necesario, evitar iteraciones para no demorar el desarrollo y gasto de créditos.</t>
  </si>
  <si>
    <t>En caso de falta de especificación, utilizar comando update y continue para actualizar especificación necesaria para archivos md</t>
  </si>
  <si>
    <t>El documento de arquitectura del frontend declaraba el envelope como ApiResponse&lt;T&gt; con la forma { code, data, message }, mientras que el estándar real del backend es ResponseData&lt;T&gt; con propiedad Data, más ResponseMeta para paginación y ResponseError generado por middleware.</t>
  </si>
  <si>
    <t>El protocolo de comunicación entre repos funciona en ambas direcciones: el frontend levanta BQ hacia el backend, y el backend debe marcar explícitamente los breaking changes hacia el frontend antes de archivar. Se confirmó ResponseData&lt;T&gt; como contrato oficial y se corrigió la documentación del frontend en config.yaml y copilot-instructions.md.</t>
  </si>
  <si>
    <t>RolesService en el frontend fue integrado asumiendo ApiResponse&lt;T&gt;, por lo que puede estar parseando mal la respuesta real o funcionando por coincidencia.</t>
  </si>
  <si>
    <t>Abrir un change de OpenSpec dedicado a auditar y corregir RolesService contra ResponseData&lt;T&gt;, con tests que verifiquen el parseo del envelope real.</t>
  </si>
  <si>
    <t>Contrato API, ResponseData, Frontend-Backend, Deuda técnica</t>
  </si>
  <si>
    <t>El copilot-instructions.md del backend tenía un bloque de código sin cerrar que rompía el render, viñetas con doble guion no válidas en markdown, no mencionaba el flujo OpenSpec ni el framework de testing, y trataba TDD como sugerencia en vez de disciplina obligatoria. Además ni verify-change ni strict-verify revisaban calidad de código, solo completitud respecto a la spec.</t>
  </si>
  <si>
    <t>Ambos repos quedaron con estructura idéntica: 3 custom agents (architecture, tdd-apply, code-review), 3 skills (architecture-analysis, strict-verify, conventional-commits), config.yaml, copilot-instructions.md y guía de desarrolladores. code-review revisa el diff completo antes de Verify, cubriendo SOLID, Clean Code y performance. El strict-verify del backend incluye además un chequeo de impacto de contrato hacia el frontend antes de permitir el archivado.</t>
  </si>
  <si>
    <t>El framework de testing del backend (xUnit + Moq con dotnet test) quedó asumido y no confirmado; tdd-apply y strict-verify dependen de ese comando para producir evidencia real.</t>
  </si>
  <si>
    <t>Confirmar el stack de testing del backend y ajustar los cuatro archivos que lo referencian antes de usar el flujo en un change productivo.</t>
  </si>
  <si>
    <t>Backend, .NET 10, EF Core, Simetría, Code Review, Testing</t>
  </si>
  <si>
    <t>El equipo no tiene commitlint ni husky, así que no hay validación automática de mensajes. Además el flujo original solo contemplaba commits de código: los artefactos de planificación y el archivado quedaban sin commitear, y el primer commit de task arrastraba todos los .md de planificación.</t>
  </si>
  <si>
    <t>La rama debe crearse ANTES del proposal, porque los artefactos de planificación se commitean. Hay cuatro momentos de commit: artefactos con docs(openspec), tasks con feat/fix, correcciones de review con fix, y archivado con docs(openspec), todos con footer Refs para trazabilidad contra el change. Una HU del cliente no equivale a un change: HU04-1 se descompuso en 6 changes independientemente verificables, y los CAs no se traducen uno a uno a requirements.</t>
  </si>
  <si>
    <t>Si los PR a dev se mergean con squash, todos los commits atómicos del ciclo TDD se colapsan en uno solo y únicamente sobrevive el título del PR, perdiendo gran parte de la trazabilidad.</t>
  </si>
  <si>
    <t>Definir formalmente la estrategia de merge del equipo (squash vs merge commit) y, si es squash, exigir que el título del PR siga Conventional Commits.</t>
  </si>
  <si>
    <t>Conventional Commits, Ramas, Trazabilidad, HU04-1, Descomposición</t>
  </si>
  <si>
    <t>Microsoft Copilot / GitHub Copilot Chat</t>
  </si>
  <si>
    <t>Automático</t>
  </si>
  <si>
    <t>La instalación global de la CLI y la ejecución de la extensión ESM (sdd-cli-extension.mjs) requieren Node.js v20.19.0+. Dos de las laptops de desarrollo tienen Node.js v14/v16 bloqueado por dependencias heredadas y restricciones corporativas.</t>
  </si>
  <si>
    <t>Diseñamos la estrategia Zero-CLI. Si el entorno físico local del programador está obsoleto, la IA puede emular las llamadas lógicas de la CLI ejecutando los archivos físicamente en disco mediante el agente. El proceso metodológico de specs y planes es más importante que el ejecutable físico.</t>
  </si>
  <si>
    <t>Pérdida de validación automática por eventos de sistema (compilación reactiva en caliente) al no contar con hooks nativos locales.</t>
  </si>
  <si>
    <t>El programador debe ordenar manualmente a la IA que ejecute un test suite de validación como comando de chat.</t>
  </si>
  <si>
    <t>Bloqueo, Entorno, Node.js, Zero-CLI, Emulación-IA</t>
  </si>
  <si>
    <t>El agente emulador a veces olvidaba aplicar el algoritmo de fusión de delta specs al recibir un comando de archivado, generando desalineación en las carpetas principales.</t>
  </si>
  <si>
    <t>Escribir instrucciones de forma procedural y estructurada con un checklist de 5 pasos numerados para que la IA realice un escaneo secuencial de deltas (ADDED, MODIFIED, REMOVED) y actualice la spec principal en Git de forma inequívoca.</t>
  </si>
  <si>
    <t>Consumo moderado-alto de tokens al tener que cargar el manual completo de Zero-CLI en el system prompt.</t>
  </si>
  <si>
    <t>Configurar el archivo de instrucciones como una "Skill" local en el IDE para que se cargue bajo demanda.</t>
  </si>
  <si>
    <t>Zero-CLI, Instrucciones, Prompt Engineering, Git</t>
  </si>
  <si>
    <t>Al programar componentes de Angular 20, los agentes mezclaban reactividad basada en RxJS de versiones antiguas con Signals modernos, o se olvidaban del tracking en el nuevo control de flujo @for.</t>
  </si>
  <si>
    <t>Crear archivos de instrucciones transversales con reglas duras: prohibición absoluta de *ngIf/*ngFor, uso obligatorio de computed() para derivaciones, bootstrap Zoneless explícito, y pruebas unitarias usando DeferBlockFixture para componentes diferidos con @defer.</t>
  </si>
  <si>
    <t>Que los desarrolladores olviden llamar a estas instrucciones en sus sesiones de chat con la IA.</t>
  </si>
  <si>
    <t>Configurar el frontmatter de los agentes de diseño e implementación para cargar de forma eager las directivas basándose en los patrones de extensión del archivo (applyTo: "src/**/*.ts").</t>
  </si>
  <si>
    <t>Angular 20, Signals, Zoneless, Control de Flujo, Testing</t>
  </si>
  <si>
    <t>Automatico</t>
  </si>
  <si>
    <t>Generación de tests</t>
  </si>
  <si>
    <t>-</t>
  </si>
  <si>
    <t>Fallido</t>
  </si>
  <si>
    <t>Realizacion de un flujo de openspec: /verify, el cual verifica que se hayan cumplido los criterios y de paso, verifica que las TODAS las pruebas pasen.</t>
  </si>
  <si>
    <t>Estaba realizando el strict-verify para poder archivar un spec realizado. Copilot tiene la instruccion de que todos los tests deben pasar, habia un test fallido de una implementacion anterior (Antes de que se implementara la instruccion de todos los test deben estar en verde) y no lograba resolver el test fallido. En consecuencia se tuvo que pausar el desarrollo (para no seguir consumiendo tokens) y corregir el test manualmente</t>
  </si>
  <si>
    <t>Enfocarse solo en los tests implementados en el desarrollo. Ya que si necesita el contexto para resolver el otro test de otra implementacion, se desvia un poco de la spec.</t>
  </si>
  <si>
    <t>Pruebas unitarias, Desarrollo de Codigo</t>
  </si>
  <si>
    <t>El agente de arquitectura a veces intentaba escribir código de producción de forma errática en lugar de limitarse a proponer el diseño técnico, sobrecargando la ventana con código que no correspondía a su rol.</t>
  </si>
  <si>
    <t>El principio de "no implementar código" debe forzarse mediante barreras físicas de herramientas en el frontmatter del archivo del agente (disallowedTools: [write, edit, run_command]). De esta forma, el agente no puede escribir archivos por error técnico.</t>
  </si>
  <si>
    <t>Que el orquestador principal intente delegar tareas de desarrollo al arquitecto y se produce un fallo de ejecución de herramienta.</t>
  </si>
  <si>
    <t>Asegurar que el agente orquestador comprenda las limitaciones de herramientas del arquitecto antes de asignarle un ticket.</t>
  </si>
  <si>
    <t>Agentes, Arquitectura, Claude Opus, Seguridad, Frontmatter</t>
  </si>
  <si>
    <t>PM</t>
  </si>
  <si>
    <t>Redacción de informes</t>
  </si>
  <si>
    <t>Revisión de ficha de iniciciativa de plan director, creación de pitch y adecuación para público objetivo</t>
  </si>
  <si>
    <t>Las anotaciones (Proyectos en Microsoft copilot) no permiten seleccionar el modelo a utilizar, al comparar el mismo prompt con un chat normal y seleccionar un modelo acorda al análisis el resultado es mejor.</t>
  </si>
  <si>
    <t>Analizar una ficha o presentación con el persona pattern permite identificar puntos debiles, contradicciones o plantear posibles preguntas desde distintas perspectiva y roles, lo que ayuda a preparar mejor la preentación. También el utilizar audience persona pattern permite adecuar pitch's que se vayan a realizar acorde al público objetivo.</t>
  </si>
  <si>
    <t>Para depurar presentaciones utlizar persona pattern para su analisis y audience persona pattern para adaptar la presentación acorde al público</t>
  </si>
  <si>
    <t>Claude Opus 5, plan Pro.</t>
  </si>
  <si>
    <t>50 % de la sesion</t>
  </si>
  <si>
    <t>Analisis de requerimientos para desarrollo de HU de validacion al subir una audiencia en el paso 3 del formulario de notificacion (Backoffice Notificaciones)</t>
  </si>
  <si>
    <t>No se encontraron problemas</t>
  </si>
  <si>
    <t>Claude Sonnet 5, plan Pro.</t>
  </si>
  <si>
    <t>100% de la sesion</t>
  </si>
  <si>
    <t>Ejecucion del desarrollo de HU de validacion al subir una audiencia en el paso 3 del formulario de notificacion (Backoffice Notificaciones)</t>
  </si>
  <si>
    <t>396.4 créditos</t>
  </si>
  <si>
    <t>Se inicia análisis de requerimiento aplicando comando 'explore' en visual studio code, el cuál se indica la necesidad y los cambios exactos. Una vez la exploración está lista, se ejecuta comando 'propose' el cuál genera archivos .md con especificación vaga. Para rectificar se ejecuta comando 'update' y luego 'continue'</t>
  </si>
  <si>
    <t>Como hallazgo, aunque se especifique bien la intención al explorar, al ejecutar propose para generar archivos md proposal, design y task, los creó pero con especificación muy vaga.</t>
  </si>
  <si>
    <t>Intentar especificar algún otro requerimiento desde cero con modelo en automático o con razonamiento alto para ver si se obtienen mejores resultados.</t>
  </si>
  <si>
    <t>34% de la sesión</t>
  </si>
  <si>
    <t>Generó perfectamente las pantallas de éxito y error al crear notificación. Para modal de confirmación, aunque estuvo bien especificado, no alineó bien los elementos, no generó correctamente estilo de botones, estilos de texto. Se rectificaron archivos especificamente aún más y no llegó a la solución. Se termina desarrollo con vibe coding.</t>
  </si>
  <si>
    <t>En el frontend aunque exista una especificación meticulosa, no siempre genera código correctamente, generalmente le cuesta cumplir con los estilos.</t>
  </si>
  <si>
    <t>Considerar conexión a figma para resultados más precisos.</t>
  </si>
  <si>
    <t>Gemini Notebook</t>
  </si>
  <si>
    <t>Gemini 3.1 Pro</t>
  </si>
  <si>
    <t>La memoria del proceso evolutivo corría el riesgo de perderse entre sprints, impidiendo justificar las decisiones de arquitectura de IA ante futuros stakeholders o nuevos desarrolladores de la célula.</t>
  </si>
  <si>
    <t>Al registrar estructuradamente la retrospectiva (los porqués de la elección de SDD y OpenSpec, y la matriz de frameworks evaluados), dotamos al equipo de una base sólida para futuras tomas de decisiones agénticas.</t>
  </si>
  <si>
    <t>Desactualización del manual ante nuevas versiones del SDK o cambios mayores en el framework.</t>
  </si>
  <si>
    <t>Programar una sesión trimestral de revisión de la bitácora técnica de IA del equipo.</t>
  </si>
  <si>
    <t>Gobernanza, Retrospectiva, SDD, OpenSpec, Gestión de Contexto</t>
  </si>
  <si>
    <t>Opus 5, plan Pro</t>
  </si>
  <si>
    <t>32% de la sesion</t>
  </si>
  <si>
    <t>La tarea constaba en explorar y analizar el proyecto para implementar una validacion de limites de envio por usuario al momento de cargar una audiencia en el paso de publico objetivo del formulario de notificacion (Backoffice Notificaciones)</t>
  </si>
  <si>
    <t>El agente hizo una suposicion respecto al calculo de zona horaria de chile. Diciendo que, el procesamiento de notificaciones no estaba haciendo la transformacion de horario UTC a horario chile. Se le tuvo que explicar, que la validacion si existia en el codigo, mostrandole exactamente donde era.</t>
  </si>
  <si>
    <t>Siempre revisar bien que informacion devuelve el agente. Si bien se debe hacer en todos los ambitos del desarrollo, igualmente siempre profundizar</t>
  </si>
  <si>
    <t>Considerar dar mas contexto si la tarea involucra otros desarrollos externos</t>
  </si>
  <si>
    <t>33% de la sesion</t>
  </si>
  <si>
    <t>La tarea constaba en implementar la validacion de los limites de envio por usuario al momento de cargar una audiencia en el paso de publico objetivo en el formulario de notificacion.</t>
  </si>
  <si>
    <t>323.7 créditos</t>
  </si>
  <si>
    <t>2% de la sesion</t>
  </si>
  <si>
    <t>Se encontró prueba unitaria ajeno al desarrollo actual, por lo que tuve que intervenir manual. No fue a causa de esta tarea.</t>
  </si>
  <si>
    <t>En caso de tener cambios locales ajenos a la tarea, al archivar se debe indicar que no tome todos los cambios del stage en github para que no realice commits innecesarios.</t>
  </si>
  <si>
    <t>Privacidad o datos</t>
  </si>
  <si>
    <t>Para casos más específicos, no ejecutar solamente el comando de openspec, en caso de que se necesiten hacer omisiones, ejecutar el comando junto con el prompt necesario.</t>
  </si>
  <si>
    <t>49.7</t>
  </si>
  <si>
    <t>6% de la sesión</t>
  </si>
  <si>
    <t>Quitar buscador de período en listado de notificaciones</t>
  </si>
  <si>
    <t>35% de la sesion</t>
  </si>
  <si>
    <t>Correccion de bug al descargar las audiencias en el detalle de notificacion, implementar la descarga de audiencias en el paso 4 de confirmacion.</t>
  </si>
  <si>
    <t>153.3</t>
  </si>
  <si>
    <t>Análisis en front para refactorización</t>
  </si>
  <si>
    <t>3% de la sesión</t>
  </si>
  <si>
    <t>Ejecución de código para refactorización</t>
  </si>
  <si>
    <t>El desarrollo de las tasks se completaron parcialmente, si bien hizo toda la implementacion del codigo backend, falto el code-review, strict-verify y el desarrollo del frontend. Esto debido a que, al momento de lanzar el code-review consumio el 100% de la sesion, siendo que estaba recien en 2%, por ende, la implementacion no se pudo completar y tuve que recurrir a otra IA (antigravity)</t>
  </si>
  <si>
    <t>El problema ocurrio, debido a que se dejo corriendo durante la hora de almuerzo el proceso, el cual necesitaba una aprobacion de parte humana.</t>
  </si>
  <si>
    <t>Al realizar las tasks, abrir una nueva ventana de claude, para no consumir todos los tokens</t>
  </si>
  <si>
    <t>App móvil</t>
  </si>
  <si>
    <t>Testing / QA</t>
  </si>
  <si>
    <t>Postman.postman-for-vscode</t>
  </si>
  <si>
    <t>102.5</t>
  </si>
  <si>
    <t>Creación de tests para colección de Postman con Backend completo de la App Móvil. Cada endpoint deberá tener al menos un tests según cada caso.</t>
  </si>
  <si>
    <t>Endpoints que aún están en desarrollo pero son parte del catálogo de servicios del backend.</t>
  </si>
  <si>
    <t>Tests, Postman, colección de endpoints, backend, documentación, automatización de pruebas</t>
  </si>
  <si>
    <t>732.1</t>
  </si>
  <si>
    <t>Análisis y especificación para envío de prueba de notificación push en backend</t>
  </si>
  <si>
    <t>21% de la sesion</t>
  </si>
  <si>
    <t>Generación de código para envío de prueba push</t>
  </si>
  <si>
    <t>A pesar de especificar, no actualizó una especificación dentro del flujo. Al momento de generar los artefactos md, le faltó agregar corregir una respuesta que luego me rechazó la verificación.</t>
  </si>
  <si>
    <t>Asegurar que el propose, design y task estén alineados para no encontrar incongruencias al verificar.</t>
  </si>
  <si>
    <t>Validar manualmente los artefactos md.</t>
  </si>
  <si>
    <t>458.2</t>
  </si>
  <si>
    <t>Refactor de dieño detalle de notificación y paso 4 de confirmación.</t>
  </si>
  <si>
    <t>24% de la sesión</t>
  </si>
  <si>
    <t>Implementación de refactorización detalle de notificación y paso 4 de confirmación.</t>
  </si>
  <si>
    <t>Cumplió en su mayor parte al implementar código, pero no pudo corregir funcionamiento de formulario para envío de prueba. Se tuvo que acudir a vibecoding para corregir.</t>
  </si>
  <si>
    <t>Para algunos diseños complejos en front aún no es preciso.</t>
  </si>
  <si>
    <t>Validar skills de diseño UI</t>
  </si>
  <si>
    <t>Analisis y especificacion para enviar una notificacion inmediata o programar su envio en el ultimo paso del formulario de notificacion en Backoffice de Notificaciones</t>
  </si>
  <si>
    <t>373.5</t>
  </si>
  <si>
    <t>Análisis y especificación para auditoría, logging y trazabalidad para backend.</t>
  </si>
  <si>
    <t>Sonnet 5</t>
  </si>
  <si>
    <t>Las comparativas públicas entre Claude, GPT y Gemini son contradictorias entre sí (cada fuente favorece a un modelo distinto) y varias citan versiones o benchmarks que no se pudieron verificar de forma independiente.</t>
  </si>
  <si>
    <t>El patrón cualitativo se repite más que el número exacto: Claude lidera en bugs sutiles de lógica, race conditions y vulnerabilidades de seguridad, además de code review y arquitectura multi-archivo. GPT destaca en debugging agéntico vía terminal/shell y generación de suites de test. Gemini lidera en análisis de monorepos grandes (contexto masivo) y tareas del stack de Google. Se recomienda mapear cada agente del flujo (tdd-apply, strict-verify, code-review, architecture) al modelo cuya fortaleza coincide con su responsabilidad, en vez de fijar un único modelo para todo el flujo.</t>
  </si>
  <si>
    <t>Configurar el modelo por defecto de un agente basándose en benchmarks de terceros no verificados, sin validarlo contra un caso real del propio repo.</t>
  </si>
  <si>
    <r>
      <t xml:space="preserve">Antes de fijar el modelo por defecto de cada agente en </t>
    </r>
    <r>
      <rPr>
        <sz val="10"/>
        <color theme="1"/>
        <rFont val="Arial Unicode MS"/>
      </rPr>
      <t>config.yaml</t>
    </r>
    <r>
      <rPr>
        <sz val="11"/>
        <color theme="1"/>
        <rFont val="Calibri"/>
        <family val="2"/>
        <charset val="1"/>
      </rPr>
      <t>, validar empíricamente con un bug conocido o un PR real del repo (frontend y backend) comparando al menos dos modelos.</t>
    </r>
  </si>
  <si>
    <t>Comparativa Modelos, Claude, GPT, Gemini, Benchmarking, Asignación por Fase</t>
  </si>
  <si>
    <t>Generacion de HU TI a los requerimientos solicitados por el area de clientes para backoffice cupones</t>
  </si>
  <si>
    <t xml:space="preserve">Generacion de Documentacion Tecnica y analisis de los requerimientos solicitados por el area de clientes para Api Notificaciones </t>
  </si>
  <si>
    <t>84.6% de la sesión</t>
  </si>
  <si>
    <t>Corrección de ordenamiento por defecto para listado de notificaciones desde servicio backend.</t>
  </si>
  <si>
    <t>Implementación de refactor de ordenamiento de listado de notificaciones en servicio backend.</t>
  </si>
  <si>
    <t>271.2</t>
  </si>
  <si>
    <t>Análisis para refactor para persistir fitros al retornar a componete de listado de notificación en frontend</t>
  </si>
  <si>
    <t>10% de la sesión</t>
  </si>
  <si>
    <t>Implementación de refactor para persistir fitros al retornar a componete de listado de notificación en frontend</t>
  </si>
  <si>
    <t>129.6</t>
  </si>
  <si>
    <t>Análisis para activar loader de carga en botones de acción tras error de creación de notificación.</t>
  </si>
  <si>
    <t>12% de la sesión</t>
  </si>
  <si>
    <t>Implementación de código para activar loader de carga en botones de acción tras error de creación de notificación.</t>
  </si>
  <si>
    <t>23% de la sesión</t>
  </si>
  <si>
    <t>Persistencia por lote nativa de SQL</t>
  </si>
  <si>
    <t>41.2</t>
  </si>
  <si>
    <t>Documentación para listado de endpoints v1</t>
  </si>
  <si>
    <t>Mediante vs code le pedí el listado de endpoints leyendo los controladores. Me entrega resultado en formato csv.</t>
  </si>
  <si>
    <t>Bajo</t>
  </si>
  <si>
    <t>17% de la sesión</t>
  </si>
  <si>
    <t>optimizacion hash api key</t>
  </si>
  <si>
    <t>GTP 6 Luna</t>
  </si>
  <si>
    <t>112.3</t>
  </si>
  <si>
    <t>Documentación estándares tecnológicos sistema notificaciones</t>
  </si>
  <si>
    <t>139.6</t>
  </si>
  <si>
    <t>Documentación diagrama arquitectura solución sistema notificaciones</t>
  </si>
  <si>
    <t>175.2</t>
  </si>
  <si>
    <t>Diagrama de componentes del sistema notificaciones</t>
  </si>
  <si>
    <t>260.4</t>
  </si>
  <si>
    <t>Diagrama de secuencias de flujos correspondiente al sistema notificaciones</t>
  </si>
  <si>
    <t>100.7</t>
  </si>
  <si>
    <t>Diagrama modelo c4 de sistema notificaciones</t>
  </si>
  <si>
    <t>510.6</t>
  </si>
  <si>
    <t>BPMN proceso de carga push</t>
  </si>
  <si>
    <t>Diagrama bpmn demasiado extenso, lo que ocasiona que sea ilegible.</t>
  </si>
  <si>
    <t>Ser más específico para diagramar lo más relevante del proceso.</t>
  </si>
  <si>
    <t>Especificar de forma más granular lo que se espera del diagrama</t>
  </si>
  <si>
    <t>236.6</t>
  </si>
  <si>
    <t>BPMN creación notificación</t>
  </si>
  <si>
    <t>177.6</t>
  </si>
  <si>
    <t>BPMN edición notificación</t>
  </si>
  <si>
    <t>GPT 5.6 Luna</t>
  </si>
  <si>
    <t>13% de la sesión</t>
  </si>
  <si>
    <t>auditoria asincrona</t>
  </si>
  <si>
    <t>7% de la sesión</t>
  </si>
  <si>
    <t>Metricas de alto rendimiento</t>
  </si>
  <si>
    <t>cache de apikeys</t>
  </si>
  <si>
    <t>logging asincrono</t>
  </si>
  <si>
    <t xml:space="preserve"> GPT 5.6 Sol</t>
  </si>
  <si>
    <t>Correccion de bug, al momento de mostrar el detalle de una notificacion. Cuando se adjunta una imagen XL se mostraba como XS</t>
  </si>
  <si>
    <t>Al momento de ejecutar las pruebas unitarias desde el frontend, la cuenta de usuario de ACL se bloquea (llega un correo desde JumpCloud), esto empezó a pasar desde la implementación de las nuevas politicas de seguridad de BCI Seguros, al comienzo de utilizar openspec (cuando no teniamos restricciones) no ocurria.</t>
  </si>
  <si>
    <t>Teoria de bloqueo de cuenta ACL, al momento de ejecutar pruebas unitarias del frontend con el flujo de openspec</t>
  </si>
  <si>
    <t>Generacion de codigo</t>
  </si>
  <si>
    <t>Resumen de adopción de IA del equipo</t>
  </si>
  <si>
    <t>Se actualiza solo. No editar celdas con fórmula.</t>
  </si>
  <si>
    <t>Totales generales</t>
  </si>
  <si>
    <t>Total de registros</t>
  </si>
  <si>
    <t>Tiempo total invertido (min)</t>
  </si>
  <si>
    <t>Tiempo total ahorrado estimado (min)</t>
  </si>
  <si>
    <t>Confianza promedio (1-5)</t>
  </si>
  <si>
    <t>% con validación humana requerida</t>
  </si>
  <si>
    <t>Por resultado</t>
  </si>
  <si>
    <t>Por herramienta</t>
  </si>
  <si>
    <t>GitHub Copilot Autocompletado</t>
  </si>
  <si>
    <t>ChatGPT Codex</t>
  </si>
  <si>
    <t>Claude Cowork</t>
  </si>
  <si>
    <t>Postbot (Postman AI)</t>
  </si>
  <si>
    <t>Por nivel de razonamiento</t>
  </si>
  <si>
    <t>Extendido</t>
  </si>
  <si>
    <t>Por tipo de uso</t>
  </si>
  <si>
    <t>Debugging</t>
  </si>
  <si>
    <t>Revisión de código</t>
  </si>
  <si>
    <t>Por riesgo identificado</t>
  </si>
  <si>
    <t>Seguridad</t>
  </si>
  <si>
    <t>Propiedad intelectual</t>
  </si>
  <si>
    <t>Cómo usar este registro</t>
  </si>
  <si>
    <t>Objetivo: dejar trazabilidad diaria del uso de IA en tareas de desarrollo, análisis, documentación e informes, como insumo para el piloto de adopción de IA del equipo (fase piloto de bajo riesgo → escalamiento → gobernanza).</t>
  </si>
  <si>
    <t>Campo</t>
  </si>
  <si>
    <t>Qué registrar</t>
  </si>
  <si>
    <t>Día en que se realizó la tarea (no el día en que se llena la planilla, si son distintos).</t>
  </si>
  <si>
    <t>Nombre de quien registra (lista desplegable con el equipo).</t>
  </si>
  <si>
    <t>PM, LT (Líder Técnico) o DEV.</t>
  </si>
  <si>
    <t>App &amp; Ecosistemas, App móvil, o Ecosistemas.</t>
  </si>
  <si>
    <t>Naturaleza de la actividad: Desarrollo, Análisis, Documentación, Informes, Testing/QA, Otro.</t>
  </si>
  <si>
    <t>Qué herramienta del stack autorizado se usó.</t>
  </si>
  <si>
    <t>Opcional. Modelo específico usado dentro de la herramienta, si se conoce (ej: Claude Sonnet 4.5, GPT-5, Gemini 3 Pro). Texto libre — no es dropdown porque los modelos cambian seguido. Dejar vacío si no se sabe o no aplica.</t>
  </si>
  <si>
    <t>Opcional. Nivel de 'thinking' / reasoning effort usado, si la herramienta lo permite elegir (ej: extended thinking en Claude, reasoning effort en modelos o-series). Marcar 'No aplica' si la herramienta no expone esa opción.</t>
  </si>
  <si>
    <t>Qué se hizo específicamente con la IA (generar código, redactar informe, etc.).</t>
  </si>
  <si>
    <t>Minutos dedicados a interactuar con la IA para esa tarea (prompting, revisión, ajustes).</t>
  </si>
  <si>
    <t>Estimación honesta del tiempo que se habría tomado sin IA, menos el tiempo invertido.</t>
  </si>
  <si>
    <t>Éxito (usable tal cual o casi), Parcial (sirvió pero con ajustes importantes), Fallido (se descartó).</t>
  </si>
  <si>
    <t>1 = no confiable, 5 = totalmente confiable sin revisión adicional.</t>
  </si>
  <si>
    <t>Sí/No. Casi todo el código y contenido sensible debería llevar 'Sí'.</t>
  </si>
  <si>
    <t>Alucinaciones, contexto insuficiente, resultados genéricos, errores de sintaxis, etc.</t>
  </si>
  <si>
    <t>Qué funcionó bien, mejores prompts, patrones a repetir o evitar.</t>
  </si>
  <si>
    <t>Marcar si hubo un riesgo relevante para gobernanza (privacidad/datos, calidad, seguridad, PI).</t>
  </si>
  <si>
    <t>Ideas para mejorar el uso de IA en el equipo (prompts, lineamientos, capacitación).</t>
  </si>
  <si>
    <t>Palabras clave libres para facilitar búsqueda o categorización posterior.</t>
  </si>
  <si>
    <t>Opcional. Cantidad de tokens consumidos en la interacción, si la herramienta lo reporta (ej: total de tokens de entrada + salida). Dejar vacío si no se conoce o la herramienta no lo expone.</t>
  </si>
  <si>
    <t>Campo abierto. Servidor/es MCP (Model Context Protocol) utilizado/s en la tarea, si aplica (ej: MCP de Jira, GitHub, filesystem, base de datos). Dejar vacío si no se usó ningún MCP.</t>
  </si>
  <si>
    <t>Ejemplo de fila completa</t>
  </si>
  <si>
    <t>Valor de ejemplo</t>
  </si>
  <si>
    <t>04-09-2026</t>
  </si>
  <si>
    <t>Claude Sonnet 4.5</t>
  </si>
  <si>
    <t>Contexto insuficiente en el primer intento, mejoró al pasarle el código completo</t>
  </si>
  <si>
    <t>Pegar el archivo completo (no solo el fragmento) mejora mucho la calidad del resultado</t>
  </si>
  <si>
    <t>Estandarizar un prompt base para documentación de endpoints</t>
  </si>
  <si>
    <t>documentación, prompt-engineering</t>
  </si>
  <si>
    <t>MCP Jira, MCP GitHub</t>
  </si>
  <si>
    <t>Nota: esta fila de ejemplo es solo referencia. No la copies en la hoja 'Registro Diario'.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</si>
</sst>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
  </numFmts>
  <fonts count="13">
    <font>
      <sz val="11"/>
      <color theme="1"/>
      <name val="Calibri"/>
      <family val="2"/>
      <charset val="1"/>
    </font>
    <font>
      <b/>
      <sz val="10"/>
      <color rgb="FFFFFFFF"/>
      <name val="Arial"/>
      <family val="2"/>
    </font>
    <font>
      <sz val="10"/>
      <name val="Arial"/>
      <family val="2"/>
    </font>
    <font>
      <sz val="10"/>
      <name val="Arial"/>
      <family val="2"/>
      <charset val="1"/>
    </font>
    <font>
      <b/>
      <sz val="14"/>
      <color rgb="FF1F3864"/>
      <name val="Arial"/>
      <family val="2"/>
    </font>
    <font>
      <i/>
      <sz val="10"/>
      <color rgb="FF595959"/>
      <name val="Arial"/>
      <family val="2"/>
    </font>
    <font>
      <b/>
      <sz val="11"/>
      <color rgb="FF1F3864"/>
      <name val="Arial"/>
      <family val="2"/>
    </font>
    <font>
      <b/>
      <sz val="10"/>
      <name val="Arial"/>
      <family val="2"/>
    </font>
    <font>
      <sz val="10"/>
      <name val="Arial"/>
    </font>
    <font>
      <sz val="11"/>
      <name val="Arial"/>
      <family val="2"/>
    </font>
    <font>
      <sz val="11"/>
      <color rgb="FF000000"/>
      <name val="Calibri"/>
      <family val="2"/>
      <charset val="1"/>
    </font>
    <font>
      <sz val="10"/>
      <color rgb="FF000000"/>
      <name val="Arial"/>
      <family val="2"/>
    </font>
    <font>
      <sz val="10"/>
      <color theme="1"/>
      <name val="Arial Unicode MS"/>
    </font>
  </fonts>
  <fills count="8">
    <fill>
      <patternFill patternType="none"/>
    </fill>
    <fill>
      <patternFill patternType="gray125"/>
    </fill>
    <fill>
      <patternFill patternType="solid">
        <fgColor rgb="FF1F3864"/>
        <bgColor rgb="FF333333"/>
      </patternFill>
    </fill>
    <fill>
      <patternFill patternType="solid">
        <fgColor rgb="FFD9E2F3"/>
        <bgColor rgb="FFCCFFFF"/>
      </patternFill>
    </fill>
    <fill>
      <patternFill patternType="solid">
        <fgColor rgb="FFFFF2CC"/>
        <bgColor rgb="FFFFFFFF"/>
      </patternFill>
    </fill>
    <fill>
      <patternFill patternType="solid">
        <fgColor theme="4" tint="-0.249977111117893"/>
        <bgColor rgb="FF333333"/>
      </patternFill>
    </fill>
    <fill>
      <patternFill patternType="solid">
        <fgColor theme="8" tint="-0.249977111117893"/>
        <bgColor rgb="FF333333"/>
      </patternFill>
    </fill>
    <fill>
      <patternFill patternType="solid">
        <fgColor theme="0"/>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1">
    <xf numFmtId="0" fontId="0" fillId="0" borderId="0" xfId="0"/>
    <xf numFmtId="0" fontId="1" fillId="2" borderId="1" xfId="0" applyFont="1" applyFill="1" applyBorder="1" applyAlignment="1">
      <alignment horizontal="center" vertical="center" wrapText="1"/>
    </xf>
    <xf numFmtId="164" fontId="2" fillId="0" borderId="1" xfId="0" applyNumberFormat="1" applyFont="1"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4" fillId="0" borderId="0" xfId="0" applyFont="1"/>
    <xf numFmtId="0" fontId="5" fillId="0" borderId="0" xfId="0" applyFont="1"/>
    <xf numFmtId="0" fontId="6" fillId="0" borderId="0" xfId="0" applyFont="1"/>
    <xf numFmtId="0" fontId="2" fillId="3" borderId="1" xfId="0" applyFont="1" applyFill="1" applyBorder="1"/>
    <xf numFmtId="0" fontId="2" fillId="0" borderId="1" xfId="0" applyFont="1" applyBorder="1"/>
    <xf numFmtId="165" fontId="2" fillId="0" borderId="1" xfId="0" applyNumberFormat="1" applyFont="1" applyBorder="1"/>
    <xf numFmtId="9" fontId="2" fillId="0" borderId="1" xfId="0" applyNumberFormat="1" applyFont="1" applyBorder="1"/>
    <xf numFmtId="0" fontId="1" fillId="2" borderId="0" xfId="0" applyFont="1" applyFill="1"/>
    <xf numFmtId="0" fontId="7" fillId="0" borderId="1" xfId="0" applyFont="1" applyBorder="1" applyAlignment="1">
      <alignment vertical="top" wrapText="1"/>
    </xf>
    <xf numFmtId="0" fontId="7" fillId="0" borderId="1" xfId="0" applyFont="1" applyBorder="1"/>
    <xf numFmtId="0" fontId="2" fillId="4" borderId="1" xfId="0" applyFont="1" applyFill="1" applyBorder="1"/>
    <xf numFmtId="164" fontId="8" fillId="0" borderId="1" xfId="0" applyNumberFormat="1" applyFont="1" applyBorder="1" applyAlignment="1">
      <alignment vertical="top" wrapText="1"/>
    </xf>
    <xf numFmtId="0" fontId="8" fillId="0" borderId="1" xfId="0" applyFont="1" applyBorder="1" applyAlignment="1">
      <alignment vertical="top"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0" xfId="0" applyAlignment="1">
      <alignment horizontal="center" vertical="center"/>
    </xf>
    <xf numFmtId="0" fontId="8" fillId="0" borderId="1" xfId="0" applyFont="1" applyBorder="1" applyAlignment="1">
      <alignment horizontal="center" vertical="top" wrapText="1"/>
    </xf>
    <xf numFmtId="0" fontId="2" fillId="0" borderId="1" xfId="0" applyFont="1" applyBorder="1" applyAlignment="1">
      <alignment horizontal="center" vertical="top" wrapText="1"/>
    </xf>
    <xf numFmtId="0" fontId="9" fillId="0" borderId="1" xfId="0" applyFont="1" applyBorder="1" applyAlignment="1">
      <alignment horizontal="center" vertical="top" wrapText="1"/>
    </xf>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10" fillId="7" borderId="0" xfId="0" applyFont="1" applyFill="1"/>
    <xf numFmtId="0" fontId="11" fillId="7" borderId="1" xfId="0" applyFont="1" applyFill="1" applyBorder="1" applyAlignment="1">
      <alignment horizontal="center" vertical="center" wrapText="1"/>
    </xf>
    <xf numFmtId="14" fontId="11" fillId="7" borderId="1" xfId="0" applyNumberFormat="1" applyFont="1" applyFill="1" applyBorder="1" applyAlignment="1">
      <alignment horizontal="center" vertical="center" wrapText="1"/>
    </xf>
    <xf numFmtId="14" fontId="0" fillId="0" borderId="1" xfId="0" applyNumberFormat="1" applyBorder="1" applyAlignment="1">
      <alignment vertical="top"/>
    </xf>
    <xf numFmtId="0" fontId="0" fillId="0" borderId="1" xfId="0" applyBorder="1" applyAlignment="1">
      <alignment vertical="top" wrapText="1"/>
    </xf>
    <xf numFmtId="0" fontId="2" fillId="0" borderId="0" xfId="0" applyFont="1" applyAlignment="1">
      <alignment vertical="top" wrapText="1"/>
    </xf>
    <xf numFmtId="164" fontId="2" fillId="0" borderId="0" xfId="0" applyNumberFormat="1" applyFont="1" applyAlignment="1">
      <alignment vertical="top" wrapText="1"/>
    </xf>
    <xf numFmtId="0" fontId="8" fillId="0" borderId="0" xfId="0" applyFont="1" applyAlignment="1">
      <alignment vertical="top" wrapText="1"/>
    </xf>
    <xf numFmtId="0" fontId="2" fillId="0" borderId="0" xfId="0" applyFont="1" applyAlignment="1">
      <alignment vertical="top" wrapText="1"/>
    </xf>
    <xf numFmtId="0" fontId="4" fillId="0" borderId="0" xfId="0" applyFont="1" applyAlignment="1"/>
    <xf numFmtId="0" fontId="7" fillId="0" borderId="1" xfId="0" applyFont="1" applyBorder="1" applyAlignment="1"/>
  </cellXfs>
  <cellStyles count="1">
    <cellStyle name="Normal" xfId="0" builtinId="0"/>
  </cellStyles>
  <dxfs count="4">
    <dxf>
      <font>
        <color theme="9" tint="-0.499984740745262"/>
      </font>
      <fill>
        <patternFill>
          <bgColor theme="9" tint="0.39994506668294322"/>
        </patternFill>
      </fill>
    </dxf>
    <dxf>
      <font>
        <color theme="5" tint="-0.499984740745262"/>
      </font>
      <fill>
        <patternFill>
          <bgColor theme="5" tint="0.39994506668294322"/>
        </patternFill>
      </fill>
    </dxf>
    <dxf>
      <font>
        <color theme="6" tint="-0.499984740745262"/>
      </font>
      <fill>
        <patternFill>
          <bgColor theme="6" tint="0.39994506668294322"/>
        </patternFill>
      </fill>
    </dxf>
    <dxf>
      <font>
        <color theme="1" tint="0.14996795556505021"/>
      </font>
      <fill>
        <patternFill>
          <bgColor theme="0" tint="-0.24994659260841701"/>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Jerson Javier Pacheco Orellana" id="{42375044-CE94-4E45-9A79-054C5D3F341E}" userId="S::jerson.pacheco@bciseguros.com::6b07744b-b885-40c9-bc9a-37f673555fb9"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rson Javier Pacheco Orellana" refreshedDate="46276.480719560182" createdVersion="8" refreshedVersion="8" minRefreshableVersion="3" recordCount="41" xr:uid="{3EE266EA-24FF-4C9E-9C05-A2C8D1958480}">
  <cacheSource type="worksheet">
    <worksheetSource ref="A1:V42" sheet="Registro Diario"/>
  </cacheSource>
  <cacheFields count="24">
    <cacheField name="Fecha" numFmtId="164">
      <sharedItems containsSemiMixedTypes="0" containsNonDate="0" containsDate="1" containsString="0" minDate="2026-08-11T00:00:00" maxDate="2026-09-11T00:00:00" count="16">
        <d v="2026-08-11T00:00:00"/>
        <d v="2026-08-14T00:00:00"/>
        <d v="2026-08-18T00:00:00"/>
        <d v="2026-08-21T00:00:00"/>
        <d v="2026-08-25T00:00:00"/>
        <d v="2026-08-27T00:00:00"/>
        <d v="2026-08-28T00:00:00"/>
        <d v="2026-08-31T00:00:00"/>
        <d v="2026-09-02T00:00:00"/>
        <d v="2026-09-04T00:00:00"/>
        <d v="2026-09-08T00:00:00"/>
        <d v="2026-09-07T00:00:00"/>
        <d v="2026-08-26T00:00:00"/>
        <d v="2026-08-20T00:00:00"/>
        <d v="2026-09-09T00:00:00"/>
        <d v="2026-09-10T00:00:00"/>
      </sharedItems>
      <fieldGroup par="23"/>
    </cacheField>
    <cacheField name="Colaborador" numFmtId="0">
      <sharedItems count="5">
        <s v="Sergio Galaz"/>
        <s v="Jerson Pacheco"/>
        <s v="Dennisse Cannobbio"/>
        <s v="Moises Lagos"/>
        <s v="Manuel Zamorano"/>
      </sharedItems>
    </cacheField>
    <cacheField name="Rol" numFmtId="0">
      <sharedItems/>
    </cacheField>
    <cacheField name="Equipo" numFmtId="0">
      <sharedItems/>
    </cacheField>
    <cacheField name="Tarea / Contexto" numFmtId="0">
      <sharedItems/>
    </cacheField>
    <cacheField name="Herramienta IA" numFmtId="0">
      <sharedItems/>
    </cacheField>
    <cacheField name="Modelo" numFmtId="0">
      <sharedItems/>
    </cacheField>
    <cacheField name="Nivel de razonamiento" numFmtId="0">
      <sharedItems/>
    </cacheField>
    <cacheField name="MCP" numFmtId="0">
      <sharedItems/>
    </cacheField>
    <cacheField name="Tipo de uso" numFmtId="0">
      <sharedItems/>
    </cacheField>
    <cacheField name="Tokens consumidos" numFmtId="0">
      <sharedItems containsBlank="1" containsMixedTypes="1" containsNumber="1" containsInteger="1" minValue="0" maxValue="150"/>
    </cacheField>
    <cacheField name="Tiempo invertido (min)" numFmtId="0">
      <sharedItems containsSemiMixedTypes="0" containsString="0" containsNumber="1" containsInteger="1" minValue="5" maxValue="480"/>
    </cacheField>
    <cacheField name="Tiempo estimado ahorrado (min)" numFmtId="0">
      <sharedItems containsMixedTypes="1" containsNumber="1" containsInteger="1" minValue="0" maxValue="1440"/>
    </cacheField>
    <cacheField name="Resultado" numFmtId="0">
      <sharedItems/>
    </cacheField>
    <cacheField name="Confianza en el output (1-5)" numFmtId="0">
      <sharedItems containsSemiMixedTypes="0" containsString="0" containsNumber="1" containsInteger="1" minValue="2" maxValue="5"/>
    </cacheField>
    <cacheField name="¿Requirió validación humana?" numFmtId="0">
      <sharedItems/>
    </cacheField>
    <cacheField name="Descripción" numFmtId="0">
      <sharedItems containsBlank="1" longText="1"/>
    </cacheField>
    <cacheField name="Problemas encontrados" numFmtId="0">
      <sharedItems containsBlank="1" longText="1"/>
    </cacheField>
    <cacheField name="Aprendizajes / Insights" numFmtId="0">
      <sharedItems containsBlank="1" longText="1"/>
    </cacheField>
    <cacheField name="Riesgo identificado" numFmtId="0">
      <sharedItems/>
    </cacheField>
    <cacheField name="Sugerencias de mejora" numFmtId="0">
      <sharedItems containsBlank="1"/>
    </cacheField>
    <cacheField name="Etiquetas" numFmtId="0">
      <sharedItems containsBlank="1"/>
    </cacheField>
    <cacheField name="Días (Fecha)" numFmtId="0" databaseField="0">
      <fieldGroup base="0">
        <rangePr groupBy="days" startDate="2026-08-11T00:00:00" endDate="2026-09-11T00:00:00"/>
        <groupItems count="368">
          <s v="&lt;11-08-2026"/>
          <s v="01-ene"/>
          <s v="02-ene"/>
          <s v="03-ene"/>
          <s v="04-ene"/>
          <s v="05-ene"/>
          <s v="06-ene"/>
          <s v="07-ene"/>
          <s v="08-ene"/>
          <s v="09-ene"/>
          <s v="10-ene"/>
          <s v="11-ene"/>
          <s v="12-ene"/>
          <s v="13-ene"/>
          <s v="14-ene"/>
          <s v="15-ene"/>
          <s v="16-ene"/>
          <s v="17-ene"/>
          <s v="18-ene"/>
          <s v="19-ene"/>
          <s v="20-ene"/>
          <s v="21-ene"/>
          <s v="22-ene"/>
          <s v="23-ene"/>
          <s v="24-ene"/>
          <s v="25-ene"/>
          <s v="26-ene"/>
          <s v="27-ene"/>
          <s v="28-ene"/>
          <s v="29-ene"/>
          <s v="30-ene"/>
          <s v="31-ene"/>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br"/>
          <s v="02-abr"/>
          <s v="03-abr"/>
          <s v="04-abr"/>
          <s v="05-abr"/>
          <s v="06-abr"/>
          <s v="07-abr"/>
          <s v="08-abr"/>
          <s v="09-abr"/>
          <s v="10-abr"/>
          <s v="11-abr"/>
          <s v="12-abr"/>
          <s v="13-abr"/>
          <s v="14-abr"/>
          <s v="15-abr"/>
          <s v="16-abr"/>
          <s v="17-abr"/>
          <s v="18-abr"/>
          <s v="19-abr"/>
          <s v="20-abr"/>
          <s v="21-abr"/>
          <s v="22-abr"/>
          <s v="23-abr"/>
          <s v="24-abr"/>
          <s v="25-abr"/>
          <s v="26-abr"/>
          <s v="27-abr"/>
          <s v="28-abr"/>
          <s v="29-abr"/>
          <s v="30-ab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go"/>
          <s v="02-ago"/>
          <s v="03-ago"/>
          <s v="04-ago"/>
          <s v="05-ago"/>
          <s v="06-ago"/>
          <s v="07-ago"/>
          <s v="08-ago"/>
          <s v="09-ago"/>
          <s v="10-ago"/>
          <s v="11-ago"/>
          <s v="12-ago"/>
          <s v="13-ago"/>
          <s v="14-ago"/>
          <s v="15-ago"/>
          <s v="16-ago"/>
          <s v="17-ago"/>
          <s v="18-ago"/>
          <s v="19-ago"/>
          <s v="20-ago"/>
          <s v="21-ago"/>
          <s v="22-ago"/>
          <s v="23-ago"/>
          <s v="24-ago"/>
          <s v="25-ago"/>
          <s v="26-ago"/>
          <s v="27-ago"/>
          <s v="28-ago"/>
          <s v="29-ago"/>
          <s v="30-ago"/>
          <s v="31-ago"/>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ic"/>
          <s v="02-dic"/>
          <s v="03-dic"/>
          <s v="04-dic"/>
          <s v="05-dic"/>
          <s v="06-dic"/>
          <s v="07-dic"/>
          <s v="08-dic"/>
          <s v="09-dic"/>
          <s v="10-dic"/>
          <s v="11-dic"/>
          <s v="12-dic"/>
          <s v="13-dic"/>
          <s v="14-dic"/>
          <s v="15-dic"/>
          <s v="16-dic"/>
          <s v="17-dic"/>
          <s v="18-dic"/>
          <s v="19-dic"/>
          <s v="20-dic"/>
          <s v="21-dic"/>
          <s v="22-dic"/>
          <s v="23-dic"/>
          <s v="24-dic"/>
          <s v="25-dic"/>
          <s v="26-dic"/>
          <s v="27-dic"/>
          <s v="28-dic"/>
          <s v="29-dic"/>
          <s v="30-dic"/>
          <s v="31-dic"/>
          <s v="&gt;11-09-2026"/>
        </groupItems>
      </fieldGroup>
    </cacheField>
    <cacheField name="Meses (Fecha)" numFmtId="0" databaseField="0">
      <fieldGroup base="0">
        <rangePr groupBy="months" startDate="2026-08-11T00:00:00" endDate="2026-09-11T00:00:00"/>
        <groupItems count="14">
          <s v="&lt;11-08-2026"/>
          <s v="ene"/>
          <s v="feb"/>
          <s v="mar"/>
          <s v="abr"/>
          <s v="may"/>
          <s v="jun"/>
          <s v="jul"/>
          <s v="ago"/>
          <s v="sept"/>
          <s v="oct"/>
          <s v="nov"/>
          <s v="dic"/>
          <s v="&gt;11-09-2026"/>
        </groupItems>
      </fieldGroup>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
  <r>
    <x v="0"/>
    <x v="0"/>
    <s v="LT"/>
    <s v="Ecosistemas"/>
    <s v="Análisis"/>
    <s v="GitHub Copilot Chat"/>
    <s v="Automático"/>
    <s v="No aplica"/>
    <s v="No aplica"/>
    <s v="Documentación técnica"/>
    <n v="0"/>
    <n v="60"/>
    <n v="300"/>
    <s v="Éxito"/>
    <n v="4"/>
    <s v="Sí"/>
    <s v="Las anotaciones (Proyectos en Microsoft copilot) no permiten seleccionar el modelo a utilizar, al comparar el mismo prompt con un chat normal y seleccionar un modelo acorda al análisis el resultado es mejor."/>
    <s v="Analizar una ficha o presentación con el persona pattern permite identificar puntos débiles, contradicciones o plantear posibles preguntas desde distintas perspectivas y roles, lo que ayuda a preparar mejor la presentación. También el utilizar audience persona pattern permite adecuar pitch's que se vayan a realizar acorde al público objetivo."/>
    <s v="Ninguno"/>
    <s v="Para depurar presentaciones utilizar persona pattern para su análisis y audience persona pattern para adaptar la presentación acorde al público."/>
    <s v="Informes, Presentación, Uso de patrones"/>
    <s v="Informes, Presentación, Uso de patrones"/>
  </r>
  <r>
    <x v="1"/>
    <x v="0"/>
    <s v="LT"/>
    <s v="Ecosistemas"/>
    <s v="Análisis"/>
    <s v="Claude Code / GitHub Copilot Chat"/>
    <s v="Claude 3.5 Sonnet"/>
    <s v="Alto"/>
    <s v="No aplica"/>
    <s v="Documentación técnica"/>
    <n v="45"/>
    <n v="120"/>
    <n v="480"/>
    <s v="Éxito"/>
    <n v="5"/>
    <s v="Sí"/>
    <s v="Spec-Kit requiere un overhead de diseño inicial extremo y acoplamiento alto. Superpowers es demasiado invasivo en cambios visuales o ajustes menores."/>
    <s v="Elegimos OpenSpec por su naturaleza abierta, modular y su enfoque brownfield-first que permite documentar solo las &quot;Delta Specs&quot; de lo que vamos a modificar, sin &quot;hervir el océano&quot; de golpe."/>
    <s v="Resistencia inicial de la célula ante un flujo formal que requiere escribir propuesta, diseño y especificación antes de codificar."/>
    <s v="Adaptar OpenSpec de forma incremental en el equipo, empezando por HU de tamaño medio."/>
    <s v="SDD, OpenSpec, Spec-Kit, Superpowers, Benchmarking"/>
    <s v="Informes, Presentación, Uso de patrones"/>
  </r>
  <r>
    <x v="2"/>
    <x v="0"/>
    <s v="LT"/>
    <s v="App &amp; Ecosistemas"/>
    <s v="Documentación"/>
    <s v="Claude Code"/>
    <s v="Claude 3.5 Sonnet"/>
    <s v="Alto"/>
    <s v="No aplica"/>
    <s v="Documentación técnica"/>
    <n v="80"/>
    <n v="90"/>
    <n v="360"/>
    <s v="Éxito"/>
    <n v="5"/>
    <s v="Sí"/>
    <s v="El equipo técnico no tiene claro cómo interactuar con los comandos /opsx: dentro del chat de la IA frente a la consola."/>
    <s v="Se definió claramente que los comandos /opsx:propose, /opsx:apply y /opsx:archive se ejecutan exclusivamente en la interfaz de chat del asistente, mientras que openspec init corre en la terminal física de la laptop."/>
    <s v="Confusión en los comandos locales de la terminal vs comandos de chat de la IA."/>
    <s v="Crear un manual ilustrativo rápido para el onboarding de nuevos desarrolladores."/>
    <s v="SDD, OpenSpec, Onboarding, Procesos"/>
    <s v="Informes, Presentación, Uso de patrones"/>
  </r>
  <r>
    <x v="3"/>
    <x v="0"/>
    <s v="LT"/>
    <s v="Ecosistemas"/>
    <s v="Análisis"/>
    <s v="GitHub Copilot CLI / VS Code"/>
    <s v="Claude 3.5 Sonnet"/>
    <s v="Alto"/>
    <s v="No aplica"/>
    <s v="Documentación técnica"/>
    <n v="110"/>
    <n v="120"/>
    <n v="540"/>
    <s v="Éxito"/>
    <n v="5"/>
    <s v="Sí"/>
    <s v="El uso de prompts planos en CLAUDE.md solo logra un ~80% de conformidad ante restricciones críticas."/>
    <s v="Para lograr un 100% de cumplimiento determinista, es obligatorio configurar ganchos mecánicos a nivel de sistema (PostToolUse y PreToolUse) para compilar el código en caliente y bloquear el flujo si la sintaxis falla."/>
    <s v="Degradación de rendimiento si las validaciones del hook post-guardado tardan más de 5 segundos."/>
    <s v="Implementar scripts de validación ultra-rápidos que solo analicen los archivos en estado &quot;staged&quot;."/>
    <s v="Hooks, Copilot CLI, Automatización, Calidad, Inspiración-Gentle-AI"/>
    <s v="Informes, Presentación, Uso de patrones"/>
  </r>
  <r>
    <x v="4"/>
    <x v="0"/>
    <s v="LT"/>
    <s v="Ecosistemas"/>
    <s v="Documentación"/>
    <s v="Claude Code"/>
    <s v="Claude Opus 4.5"/>
    <s v="Muy Alto"/>
    <s v="No aplica (Se evaluó Engram MCP para inspiración pero se descartó su uso)"/>
    <s v="Documentación técnica"/>
    <n v="150"/>
    <n v="150"/>
    <n v="600"/>
    <s v="Éxito"/>
    <n v="5"/>
    <s v="Sí"/>
    <s v="El desborde del contexto de tokens (*context rot*) provoca que el agente olvide las decisiones de diseño arquitectónico."/>
    <s v="Se estudió Engram MCP como inspiración para entender la estructuración de observaciones. Para evitar dependencias locales pesadas, no se implementó. Diseñamos una persistencia pura basada en Git, guardando planes en archivos Markdown (tasks.md, design.md)."/>
    <s v="Amnesia técnica si las conversaciones se alargan sin un plan persistente en Markdown."/>
    <s v="Forzar al agente a documentar decisiones de diseño directamente en Git utilizando design.md y tasks.md para persistir el conocimiento."/>
    <s v="Orquestación, Planificación, Contexto, Git, Inspiración-Engram"/>
    <s v="Informes, Presentación, Uso de patrones"/>
  </r>
  <r>
    <x v="4"/>
    <x v="0"/>
    <s v="LT"/>
    <s v="Ecosistemas"/>
    <s v="Desarrollo"/>
    <s v="Claude (chat web)"/>
    <s v="Claude Opus 5"/>
    <s v="Muy Alto"/>
    <s v="No aplica"/>
    <s v="Documentación técnica"/>
    <n v="60"/>
    <n v="45"/>
    <n v="180"/>
    <s v="Éxito"/>
    <n v="5"/>
    <s v="Sí"/>
    <s v="El agente de arquitectura era genérico (fronteras controller/service/repository) y no distinguía los patrones propios de Angular. Además asumía contratos del backend sin evidencia, lo que llevaba a diseñar sobre suposiciones no validadas."/>
    <s v="Restringir las herramientas en el frontmatter convierte &quot;no implementes código&quot; de instrucción blanda en restricción estructural. Se formalizó el protocolo BQ-&lt;n&gt; en backend-questions.md con campos status, category, question, why y needed-detail, prohibiendo inferir forma de payloads, códigos de error, paginación o auth. Ninguna recomendación de diseño puede darse por final si depende de un BQ en estado open."/>
    <s v="Que el equipo responda un BQ de forma especulativa y se termine diseñando sobre una suposición igual de frágil que la original."/>
    <s v="Exigir que toda respuesta a un BQ se verifique contra el código real del repo backend antes de marcarla como answered."/>
    <s v="Agentes, Angular 20, NgRx Signal Store, Contrato API, Protocolo BQ"/>
    <s v="Informes, Presentación, Uso de patrones"/>
  </r>
  <r>
    <x v="4"/>
    <x v="0"/>
    <s v="LT"/>
    <s v="Ecosistemas"/>
    <s v="Análisis"/>
    <s v="Claude (chat web)"/>
    <s v="Claude Opus 5"/>
    <s v="Muy Alto"/>
    <s v="No aplica"/>
    <s v="Documentación técnica"/>
    <n v="55"/>
    <n v="40"/>
    <n v="240"/>
    <s v="Pivoteado"/>
    <n v="5"/>
    <s v="Sí"/>
    <s v="Se estaba diseñando un orquestador con agentes por fase (proposal, spec, design, verify, archive) que reimplementaba a mano lo que OpenSpec ya genera de forma nativa y conectada a la CLI real."/>
    <s v="openspec init con target github-copilot ya genera skills para todo el ciclo (new-change, continue-change, apply-change, verify-change, archive-change, explore, propose, ff-change, sync-specs, update-change, bulk-archive, onboard). La skill continue-change crea UN artefacto por invocación y se detiene esperando confirmación: eso YA es el gate humano, por lo que un orquestador con handoffs resultaba ceremonia redundante. Se descartó el enfoque de sdd-orchestrator diseñado ese mismo día."/>
    <s v="Mantener artefactos custom que dupliquen funcionalidad nativa y que diverjan en cada upgrade de la CLI de OpenSpec."/>
    <s v="Antes de crear cualquier agente o skill, auditar qué cubre OpenSpec de forma nativa y construir solo sobre los huecos reales comprobados."/>
    <s v="OpenSpec, Skills nativas, Simplificación, Anti-duplicación"/>
    <s v="Informes, Presentación, Uso de patrones"/>
  </r>
  <r>
    <x v="4"/>
    <x v="0"/>
    <s v="LT"/>
    <s v="Ecosistemas"/>
    <s v="Análisis"/>
    <s v="Claude (chat web)"/>
    <s v="Claude Opus 5"/>
    <s v="Muy Alto"/>
    <s v="No aplica"/>
    <s v="Documentación técnica"/>
    <n v="70"/>
    <n v="50"/>
    <n v="300"/>
    <s v="Éxito"/>
    <n v="5"/>
    <s v="Sí"/>
    <s v="openspec-apply-change no impone TDD: su instrucción literal es &quot;make the code changes required&quot;, sin exigir RED antes de GREEN. openspec-verify-change es heurístico, basado en búsqueda de keywords en el código, y no ejecuta el test suite ni openspec validate --strict. La skill oficial angular-developer de Google no cubre NgRx Signal Store en absoluto."/>
    <s v="tdd-apply se implementó como custom agent y no como skill para que la invocación sea determinista (el dev lo elige del dropdown) y no compita con apply-change por auto-descubrimiento. strict-verify envuelve el reporte heurístico y le agrega evidencia real ejecutada. Ninguna task se marca completa sin RED confirmado y suite completa en verde. Se confirmó el stack de testing del frontend: Jasmine + Karma, con npm run test -- --watch=false obligatorio porque ng test corre en modo watch por defecto."/>
    <s v="Que el desarrollador use openspec-apply-change por comodidad en tasks &quot;triviales&quot; y se pierda la disciplina RED-GREEN justo donde menos se nota."/>
    <s v="Documentarlo como error común en la guía de desarrolladores y reforzarlo desde copilot-instructions.md, que se inyecta en todos los turnos de chat."/>
    <s v="TDD, Verificación, Custom agents, Huecos, Evidencia real"/>
    <s v="Informes, Presentación, Uso de patrones"/>
  </r>
  <r>
    <x v="4"/>
    <x v="0"/>
    <s v="LT"/>
    <s v="Ecosistemas"/>
    <s v="Desarrollo"/>
    <s v="Claude (chat web)"/>
    <s v="Claude Opus 5"/>
    <s v="Alto"/>
    <s v="No aplica"/>
    <s v="Documentación técnica"/>
    <n v="45"/>
    <n v="35"/>
    <n v="150"/>
    <s v="Éxito"/>
    <n v="5"/>
    <s v="Sí"/>
    <s v="Error de parseo &quot;Implicit keys need to be on a single line&quot; al escribir strings que contienen dos puntos seguidos de espacio dentro de bullets multilínea sin comillas en la sección rules."/>
    <s v="config.yaml tiene tres niveles con semántica distinta: context (global, se muestra al crear cualquier artefacto), rules (por artefacto) y operations (apply/archive). context y rules son constraints; operations.guidance es explícitamente advisory, no enforcement duro, y por eso la disciplina TDD real se fuerza desde el agente tdd-apply y no desde el config. En YAML, &quot;: &quot; abre un mapa: todo bullet multilínea debe usar bloque &gt;- o ir entre comillas."/>
    <s v="Confiar en operations.guidance como si fuera enforcement determinista cuando la propia skill lo describe como consejo opcional."/>
    <s v="Validar todo YAML con un parser estricto antes de commitear, y documentar qué capas son constraint y cuáles advisory."/>
    <s v="OpenSpec, config.yaml, YAML, Enforcement, Contexto"/>
    <s v="Informes, Presentación, Uso de patrones"/>
  </r>
  <r>
    <x v="5"/>
    <x v="0"/>
    <s v="LT"/>
    <s v="App &amp; Ecosistemas"/>
    <s v="Documentación"/>
    <s v="Claude (chat web)"/>
    <s v="Claude Opus 5"/>
    <s v="Alto"/>
    <s v="No aplica"/>
    <s v="Documentación técnica"/>
    <n v="30"/>
    <n v="25"/>
    <n v="240"/>
    <s v="Éxito"/>
    <n v="5"/>
    <s v="Sí"/>
    <s v="El documento de arquitectura del frontend declaraba el envelope como ApiResponse&lt;T&gt; con la forma { code, data, message }, mientras que el estándar real del backend es ResponseData&lt;T&gt; con propiedad Data, más ResponseMeta para paginación y ResponseError generado por middleware."/>
    <s v="El protocolo de comunicación entre repos funciona en ambas direcciones: el frontend levanta BQ hacia el backend, y el backend debe marcar explícitamente los breaking changes hacia el frontend antes de archivar. Se confirmó ResponseData&lt;T&gt; como contrato oficial y se corrigió la documentación del frontend en config.yaml y copilot-instructions.md."/>
    <s v="RolesService en el frontend fue integrado asumiendo ApiResponse&lt;T&gt;, por lo que puede estar parseando mal la respuesta real o funcionando por coincidencia."/>
    <s v="Abrir un change de OpenSpec dedicado a auditar y corregir RolesService contra ResponseData&lt;T&gt;, con tests que verifiquen el parseo del envelope real."/>
    <s v="Contrato API, ResponseData, Frontend-Backend, Deuda técnica"/>
    <s v="Informes, Presentación, Uso de patrones"/>
  </r>
  <r>
    <x v="5"/>
    <x v="0"/>
    <s v="LT"/>
    <s v="App &amp; Ecosistemas"/>
    <s v="Desarrollo"/>
    <s v="Claude (chat web)"/>
    <s v="Claude Opus 5"/>
    <s v="Muy Alto"/>
    <s v="No aplica"/>
    <s v="Documentación técnica"/>
    <n v="65"/>
    <n v="45"/>
    <n v="300"/>
    <s v="Éxito"/>
    <n v="4"/>
    <s v="Sí"/>
    <s v="El copilot-instructions.md del backend tenía un bloque de código sin cerrar que rompía el render, viñetas con doble guion no válidas en markdown, no mencionaba el flujo OpenSpec ni el framework de testing, y trataba TDD como sugerencia en vez de disciplina obligatoria. Además ni verify-change ni strict-verify revisaban calidad de código, solo completitud respecto a la spec."/>
    <s v="Ambos repos quedaron con estructura idéntica: 3 custom agents (architecture, tdd-apply, code-review), 3 skills (architecture-analysis, strict-verify, conventional-commits), config.yaml, copilot-instructions.md y guía de desarrolladores. code-review revisa el diff completo antes de Verify, cubriendo SOLID, Clean Code y performance. El strict-verify del backend incluye además un chequeo de impacto de contrato hacia el frontend antes de permitir el archivado."/>
    <s v="El framework de testing del backend (xUnit + Moq con dotnet test) quedó asumido y no confirmado; tdd-apply y strict-verify dependen de ese comando para producir evidencia real."/>
    <s v="Confirmar el stack de testing del backend y ajustar los cuatro archivos que lo referencian antes de usar el flujo en un change productivo."/>
    <s v="Backend, .NET 10, EF Core, Simetría, Code Review, Testing"/>
    <s v="Informes, Presentación, Uso de patrones"/>
  </r>
  <r>
    <x v="5"/>
    <x v="0"/>
    <s v="LT"/>
    <s v="Ecosistemas"/>
    <s v="Documentación"/>
    <s v="Claude (chat web)"/>
    <s v="Claude Opus 5"/>
    <s v="Muy Alto"/>
    <s v="No aplica"/>
    <s v="Documentación técnica"/>
    <n v="75"/>
    <n v="55"/>
    <n v="360"/>
    <s v="Éxito"/>
    <n v="5"/>
    <s v="Sí"/>
    <s v="El equipo no tiene commitlint ni husky, así que no hay validación automática de mensajes. Además el flujo original solo contemplaba commits de código: los artefactos de planificación y el archivado quedaban sin commitear, y el primer commit de task arrastraba todos los .md de planificación."/>
    <s v="La rama debe crearse ANTES del proposal, porque los artefactos de planificación se commitean. Hay cuatro momentos de commit: artefactos con docs(openspec), tasks con feat/fix, correcciones de review con fix, y archivado con docs(openspec), todos con footer Refs para trazabilidad contra el change. Una HU del cliente no equivale a un change: HU04-1 se descompuso en 6 changes independientemente verificables, y los CAs no se traducen uno a uno a requirements."/>
    <s v="Si los PR a dev se mergean con squash, todos los commits atómicos del ciclo TDD se colapsan en uno solo y únicamente sobrevive el título del PR, perdiendo gran parte de la trazabilidad."/>
    <s v="Definir formalmente la estrategia de merge del equipo (squash vs merge commit) y, si es squash, exigir que el título del PR siga Conventional Commits."/>
    <s v="Conventional Commits, Ramas, Trazabilidad, HU04-1, Descomposición"/>
    <s v="Informes, Presentación, Uso de patrones"/>
  </r>
  <r>
    <x v="6"/>
    <x v="0"/>
    <s v="LT"/>
    <s v="App &amp; Ecosistemas"/>
    <s v="Otro"/>
    <s v="Microsoft Copilot / GitHub Copilot Chat"/>
    <s v="Automático"/>
    <s v="Alto"/>
    <s v="No aplica"/>
    <s v="Documentación técnica"/>
    <n v="0"/>
    <n v="180"/>
    <n v="720"/>
    <s v="Pivoteado"/>
    <n v="5"/>
    <s v="Sí"/>
    <s v="La instalación global de la CLI y la ejecución de la extensión ESM (sdd-cli-extension.mjs) requieren Node.js v20.19.0+. Dos de las laptops de desarrollo tienen Node.js v14/v16 bloqueado por dependencias heredadas y restricciones corporativas."/>
    <s v="Diseñamos la estrategia Zero-CLI. Si el entorno físico local del programador está obsoleto, la IA puede emular las llamadas lógicas de la CLI ejecutando los archivos físicamente en disco mediante el agente. El proceso metodológico de specs y planes es más importante que el ejecutable físico."/>
    <s v="Pérdida de validación automática por eventos de sistema (compilación reactiva en caliente) al no contar con hooks nativos locales."/>
    <s v="El programador debe ordenar manualmente a la IA que ejecute un test suite de validación como comando de chat."/>
    <s v="Bloqueo, Entorno, Node.js, Zero-CLI, Emulación-IA"/>
    <s v="Informes, Presentación, Uso de patrones"/>
  </r>
  <r>
    <x v="7"/>
    <x v="0"/>
    <s v="LT"/>
    <s v="Ecosistemas"/>
    <s v="Documentación"/>
    <s v="Claude Code"/>
    <s v="Claude 3.5 Sonnet"/>
    <s v="Alto"/>
    <s v="No aplica"/>
    <s v="Documentación técnica"/>
    <n v="95"/>
    <n v="100"/>
    <n v="400"/>
    <s v="Éxito"/>
    <n v="5"/>
    <s v="Sí"/>
    <s v="El agente emulador a veces olvidaba aplicar el algoritmo de fusión de delta specs al recibir un comando de archivado, generando desalineación en las carpetas principales."/>
    <s v="Escribir instrucciones de forma procedural y estructurada con un checklist de 5 pasos numerados para que la IA realice un escaneo secuencial de deltas (ADDED, MODIFIED, REMOVED) y actualice la spec principal en Git de forma inequívoca."/>
    <s v="Consumo moderado-alto de tokens al tener que cargar el manual completo de Zero-CLI en el system prompt."/>
    <s v="Configurar el archivo de instrucciones como una &quot;Skill&quot; local en el IDE para que se cargue bajo demanda."/>
    <s v="Zero-CLI, Instrucciones, Prompt Engineering, Git"/>
    <s v="Informes, Presentación, Uso de patrones"/>
  </r>
  <r>
    <x v="8"/>
    <x v="0"/>
    <s v="LT"/>
    <s v="Ecosistemas"/>
    <s v="Desarrollo"/>
    <s v="GitHub Copilot Chat"/>
    <s v="Claude 3.5 Sonnet"/>
    <s v="Alto"/>
    <s v="No aplica"/>
    <s v="Documentación técnica"/>
    <n v="120"/>
    <n v="120"/>
    <n v="480"/>
    <s v="Éxito"/>
    <n v="5"/>
    <s v="Sí"/>
    <s v="Al programar componentes de Angular 20, los agentes mezclaban reactividad basada en RxJS de versiones antiguas con Signals modernos, o se olvidaban del tracking en el nuevo control de flujo @for."/>
    <s v="Crear archivos de instrucciones transversales con reglas duras: prohibición absoluta de *ngIf/*ngFor, uso obligatorio de computed() para derivaciones, bootstrap Zoneless explícito, y pruebas unitarias usando DeferBlockFixture para componentes diferidos con @defer."/>
    <s v="Que los desarrolladores olviden llamar a estas instrucciones en sus sesiones de chat con la IA."/>
    <s v="Configurar el frontmatter de los agentes de diseño e implementación para cargar de forma eager las directivas basándose en los patrones de extensión del archivo (applyTo: &quot;src/**/*.ts&quot;)."/>
    <s v="Angular 20, Signals, Zoneless, Control de Flujo, Testing"/>
    <s v="Informes, Presentación, Uso de patrones"/>
  </r>
  <r>
    <x v="9"/>
    <x v="0"/>
    <s v="LT"/>
    <s v="Ecosistemas"/>
    <s v="Desarrollo"/>
    <s v="Claude Code"/>
    <s v="Claude Opus 4.5"/>
    <s v="Muy Alto"/>
    <s v="No aplica"/>
    <s v="Documentación técnica"/>
    <n v="85"/>
    <n v="90"/>
    <n v="360"/>
    <s v="Éxito"/>
    <n v="5"/>
    <s v="Sí"/>
    <s v="El agente de arquitectura a veces intentaba escribir código de producción de forma errática en lugar de limitarse a proponer el diseño técnico, sobrecargando la ventana con código que no correspondía a su rol."/>
    <s v="El principio de &quot;no implementar código&quot; debe forzarse mediante barreras físicas de herramientas en el frontmatter del archivo del agente (disallowedTools: [write, edit, run_command]). De esta forma, el agente no puede escribir archivos por error técnico."/>
    <s v="Que el orquestador principal intente delegar tareas de desarrollo al arquitecto y se produce un fallo de ejecución de herramienta."/>
    <s v="Asegurar que el agente orquestador comprenda las limitaciones de herramientas del arquitecto antes de asignarle un ticket."/>
    <s v="Agentes, Arquitectura, Claude Opus, Seguridad, Frontmatter"/>
    <s v="Informes, Presentación, Uso de patrones"/>
  </r>
  <r>
    <x v="10"/>
    <x v="0"/>
    <s v="LT"/>
    <s v="App &amp; Ecosistemas"/>
    <s v="Documentación"/>
    <s v="Gemini Notebook"/>
    <s v="Gemini 1.5 Pro"/>
    <s v="Alto"/>
    <s v="No aplica"/>
    <s v="Documentación técnica"/>
    <n v="140"/>
    <n v="60"/>
    <n v="240"/>
    <s v="Éxito"/>
    <n v="5"/>
    <s v="Sí"/>
    <s v="La memoria del proceso evolutivo corría el riesgo de perderse entre sprints, impidiendo justificar las decisiones de arquitectura de IA ante futuros stakeholders o nuevos desarrolladores de la célula."/>
    <s v="Al registrar estructuradamente la retrospectiva (los porqués de la elección de SDD y OpenSpec, y la matriz de frameworks evaluados), dotamos al equipo de una base sólida para futuras tomas de decisiones agénticas."/>
    <s v="Desactualización del manual ante nuevas versiones del SDK o cambios mayores en el framework."/>
    <s v="Programar una sesión trimestral de revisión de la bitácora técnica de IA del equipo."/>
    <s v="Gobernanza, Retrospectiva, SDD, OpenSpec, Gestión de Contexto"/>
    <s v="Informes, Presentación, Uso de patrones"/>
  </r>
  <r>
    <x v="9"/>
    <x v="1"/>
    <s v="PM"/>
    <s v="App &amp; Ecosistemas"/>
    <s v="Análisis"/>
    <s v="Microsoft Copilot"/>
    <s v="Automatico"/>
    <s v="No aplica"/>
    <s v="No aplica"/>
    <s v="Redacción de informes"/>
    <n v="0"/>
    <n v="60"/>
    <n v="300"/>
    <s v="Éxito"/>
    <n v="4"/>
    <s v="Sí"/>
    <s v="Revisión de ficha de iniciciativa de plan director, creación de pitch y adecuación para público objetivo"/>
    <s v="Las anotaciones (Proyectos en Microsoft copilot) no permiten seleccionar el modelo a utilizar, al comparar el mismo prompt con un chat normal y seleccionar un modelo acorda al análisis el resultado es mejor."/>
    <s v="Analizar una ficha o presentación con el persona pattern permite identificar puntos debiles, contradicciones o plantear posibles preguntas desde distintas perspectiva y roles, lo que ayuda a preparar mejor la preentación. También el utilizar audience persona pattern permite adecuar pitch's que se vayan a realizar acorde al público objetivo."/>
    <s v="Ninguno"/>
    <s v="Para depurar presentaciones utlizar persona pattern para su analisis y audience persona pattern para adaptar la presentación acorde al público"/>
    <s v="Informes, Presentación, Uso de patrones"/>
  </r>
  <r>
    <x v="8"/>
    <x v="2"/>
    <s v="DEV"/>
    <s v="App &amp; Ecosistemas"/>
    <s v="Desarrollo"/>
    <s v="GitHub Copilot Chat"/>
    <s v="Automatico"/>
    <s v="No aplica"/>
    <s v="No aplica"/>
    <s v="Generación de tests"/>
    <m/>
    <n v="60"/>
    <s v="-"/>
    <s v="Fallido"/>
    <n v="2"/>
    <s v="Sí"/>
    <s v="Realizacion de un flujo de openspec: /verify, el cual verifica que se hayan cumplido los criterios y de paso, verifica que las TODAS las pruebas pasen."/>
    <s v="Estaba realizando el strict-verify para poder archivar un spec realizado. Copilot tiene la instruccion de que todos los tests deben pasar, habia un test fallido de una implementacion anterior (Antes de que se implementara la instruccion de todos los test deben estar en verde) y no lograba resolver el test fallido. En consecuencia se tuvo que pausar el desarrollo (para no seguir consumiendo tokens) y corregir el test manualmente"/>
    <s v="No aplica"/>
    <s v="Calidad o precisión"/>
    <s v="Enfocarse solo en los tests implementados en el desarrollo. Ya que si necesita el contexto para resolver el otro test de otra implementacion, se desvia un poco de la spec."/>
    <s v="Pruebas unitarias, Desarrollo de Codigo"/>
  </r>
  <r>
    <x v="11"/>
    <x v="2"/>
    <s v="DEV"/>
    <s v="App &amp; Ecosistemas"/>
    <s v="Análisis"/>
    <s v="Claude Code"/>
    <s v="Claude Opus 5, plan Pro."/>
    <s v="No aplica"/>
    <s v="No aplica"/>
    <s v="Análisis de requerimientos"/>
    <s v="50 % de la sesion"/>
    <n v="150"/>
    <n v="210"/>
    <s v="Éxito"/>
    <n v="5"/>
    <s v="Si"/>
    <s v="Analisis de requerimientos para desarrollo de HU de validacion al subir una audiencia en el paso 3 del formulario de notificacion (Backoffice Notificaciones)"/>
    <s v="No se encontraron problemas"/>
    <s v="No aplica"/>
    <s v="Ninguno"/>
    <s v="Ninguno"/>
    <s v="Analisis de requerimientos"/>
  </r>
  <r>
    <x v="11"/>
    <x v="2"/>
    <s v="DEV"/>
    <s v="App &amp; Ecosistemas"/>
    <s v="Desarrollo"/>
    <s v="Claude Code"/>
    <s v="Claude Sonnet 5, plan Pro."/>
    <s v="No aplica"/>
    <s v="No aplica"/>
    <s v="Generación de código"/>
    <s v="100% de la sesion"/>
    <n v="120"/>
    <n v="210"/>
    <s v="Éxito"/>
    <n v="5"/>
    <s v="Sí"/>
    <s v="Ejecucion del desarrollo de HU de validacion al subir una audiencia en el paso 3 del formulario de notificacion (Backoffice Notificaciones)"/>
    <s v="No se encontraron problemas"/>
    <s v="No aplica"/>
    <s v="Ninguno"/>
    <s v="Ninguno"/>
    <s v="Desarrollo"/>
  </r>
  <r>
    <x v="11"/>
    <x v="3"/>
    <s v="DEV"/>
    <s v="App &amp; Ecosistemas"/>
    <s v="Análisis"/>
    <s v="GitHub Copilot Agent Skills"/>
    <s v="GPT 5.6 Terra"/>
    <s v="Medio"/>
    <s v="No aplica"/>
    <s v="Análisis de requerimientos"/>
    <s v="396.4 créditos"/>
    <n v="80"/>
    <n v="160"/>
    <s v="Parcial"/>
    <n v="4"/>
    <s v="Sí"/>
    <m/>
    <s v="Se inicia análisis de requerimiento aplicando comando 'explore' en visual studio code, el cuál se indica la necesidad y los cambios exactos. Una vez la exploración está lista, se ejecuta comando 'propose' el cuál genera archivos .md con especificación vaga. Para rectificar se ejecuta comando 'update' y luego 'continue'"/>
    <s v="Como hallazgo, aunque se especifique bien la intención al explorar, al ejecutar propose para generar archivos md proposal, design y task, los creó pero con especificación muy vaga."/>
    <s v="Calidad o precisión"/>
    <s v="Intentar especificar algún otro requerimiento desde cero con modelo en automático o con razonamiento alto para ver si se obtienen mejores resultados."/>
    <s v="Analisis de requerimientos"/>
  </r>
  <r>
    <x v="11"/>
    <x v="3"/>
    <s v="DEV"/>
    <s v="App &amp; Ecosistemas"/>
    <s v="Desarrollo"/>
    <s v="Google Antigravity"/>
    <s v="Gemini pro 3.1"/>
    <s v="Alto"/>
    <s v="No aplica"/>
    <s v="Generación de código"/>
    <s v="34% de la sesión"/>
    <n v="140"/>
    <n v="480"/>
    <s v="Parcial"/>
    <n v="4"/>
    <s v="Sí"/>
    <m/>
    <s v="Generó perfectamente las pantallas de éxito y error al crear notificación. Para modal de confirmación, aunque estuvo bien especificado, no alineó bien los elementos, no generó correctamente estilo de botones, estilos de texto. Se rectificaron archivos especificamente aún más y no llegó a la solución. Se termina desarrollo con vibe coding."/>
    <s v="En el frontend aunque exista una especificación meticulosa, no siempre genera código correctamente, generalmente le cuesta cumplir con los estilos."/>
    <s v="Calidad o precisión"/>
    <s v="Considerar conexión a figma para resultados más precisos."/>
    <s v="Analisis de requerimientos"/>
  </r>
  <r>
    <x v="10"/>
    <x v="2"/>
    <s v="DEV"/>
    <s v="App &amp; Ecosistemas"/>
    <s v="Análisis"/>
    <s v="Claude Code"/>
    <s v="Opus 5, plan Pro"/>
    <s v="No aplica"/>
    <s v="No aplica"/>
    <s v="Análisis de requerimientos"/>
    <s v="32% de la sesion"/>
    <n v="120"/>
    <n v="240"/>
    <s v="Éxito"/>
    <n v="5"/>
    <s v="Si"/>
    <s v="La tarea constaba en explorar y analizar el proyecto para implementar una validacion de limites de envio por usuario al momento de cargar una audiencia en el paso de publico objetivo del formulario de notificacion (Backoffice Notificaciones)"/>
    <s v="El agente hizo una suposicion respecto al calculo de zona horaria de chile. Diciendo que, el procesamiento de notificaciones no estaba haciendo la transformacion de horario UTC a horario chile. Se le tuvo que explicar, que la validacion si existia en el codigo, mostrandole exactamente donde era."/>
    <s v="Siempre revisar bien que informacion devuelve el agente. Si bien se debe hacer en todos los ambitos del desarrollo, igualmente siempre profundizar"/>
    <s v="Calidad o precisión"/>
    <s v="Considerar dar mas contexto si la tarea involucra otros desarrollos externos"/>
    <s v="Analisis de requerimientos"/>
  </r>
  <r>
    <x v="10"/>
    <x v="2"/>
    <s v="DEV"/>
    <s v="App &amp; Ecosistemas"/>
    <s v="Desarrollo"/>
    <s v="Claude Code"/>
    <s v="Sonnet 5, plan Pro"/>
    <s v="No aplica"/>
    <s v="No aplica "/>
    <s v="Generación de código"/>
    <s v="33% de la sesion"/>
    <n v="60"/>
    <n v="480"/>
    <s v="Éxito"/>
    <n v="5"/>
    <s v="Sí"/>
    <s v="La tarea constaba en implementar la validacion de los limites de envio por usuario al momento de cargar una audiencia en el paso de publico objetivo en el formulario de notificacion."/>
    <s v="No se encontraron problemas"/>
    <s v="No aplica"/>
    <s v="Ninguno"/>
    <s v="Ninguno"/>
    <s v="Desarrollo"/>
  </r>
  <r>
    <x v="10"/>
    <x v="3"/>
    <s v="DEV"/>
    <s v="App &amp; Ecosistemas"/>
    <s v="Análisis"/>
    <s v="GitHub Copilot Agent Skills"/>
    <s v="GPT 5.6 Terra"/>
    <s v="Medio"/>
    <s v="No aplica"/>
    <s v="Análisis de requerimientos"/>
    <s v="323.7 créditos"/>
    <n v="22"/>
    <n v="60"/>
    <s v="Éxito"/>
    <n v="5"/>
    <s v="No"/>
    <s v="Ninguno"/>
    <s v="Ninguno"/>
    <s v="Ninguno"/>
    <s v="Ninguno"/>
    <s v="Ninguno"/>
    <s v="Ninguno"/>
  </r>
  <r>
    <x v="10"/>
    <x v="3"/>
    <s v="DEV"/>
    <s v="App &amp; Ecosistemas"/>
    <s v="Desarrollo"/>
    <s v="Google Antigravity"/>
    <s v="Gemini 3.8 flash"/>
    <s v="Medio"/>
    <s v="No aplica"/>
    <s v="Refactor"/>
    <s v="2% de la sesion"/>
    <n v="8"/>
    <n v="60"/>
    <s v="Éxito"/>
    <n v="5"/>
    <s v="Sí"/>
    <m/>
    <s v="Se encontró prueba unitaria ajeno al desarrollo actual, por lo que tuve que intervenir manual. No fue a causa de esta tarea."/>
    <s v="En caso de tener cambios locales ajenos a la tarea, al archivar se debe indicar que no tome todos los cambios del stage en github para que no realice commits innecesarios."/>
    <s v="Privacidad o datos"/>
    <s v="Para casos más específicos, no ejecutar solamente el comando de openspec, en caso de que se necesiten hacer omisiones, ejecutar el comando junto con el prompt necesario."/>
    <m/>
  </r>
  <r>
    <x v="12"/>
    <x v="3"/>
    <s v="DEV"/>
    <s v="App &amp; Ecosistemas"/>
    <s v="Análisis"/>
    <s v="GitHub Copilot Agent Skills"/>
    <s v="GPT 5.6 Terra"/>
    <s v="Medio"/>
    <s v="No aplica"/>
    <s v="Análisis de requerimientos"/>
    <s v="1599.6 créditos"/>
    <n v="480"/>
    <n v="960"/>
    <s v="Éxito"/>
    <n v="5"/>
    <s v="No"/>
    <s v="Análisis procesamiento de carga notificaciones push"/>
    <s v="Ninguno"/>
    <s v="Copilot realizó el análsis y diseñó todo lo que se le solicitó, faltó especificar por parte de desarrollador para llegar con la solución completa."/>
    <s v="Ninguno"/>
    <s v="Procurar ser lo más detallista posible en fase de exploración y especificación."/>
    <s v="Análisis / especificación de requerimientos"/>
  </r>
  <r>
    <x v="12"/>
    <x v="3"/>
    <s v="DEV"/>
    <s v="App &amp; Ecosistemas"/>
    <s v="Desarrollo"/>
    <s v="GitHub Copilot Agent Skills"/>
    <s v="GPT 5.6 Terra"/>
    <s v="Medio"/>
    <s v="No aplica"/>
    <s v="Generación de código"/>
    <s v="1066.4 créditos"/>
    <n v="480"/>
    <n v="1440"/>
    <s v="Éxito"/>
    <n v="5"/>
    <s v="No"/>
    <s v="Desarrollo backend, procesamiento de carga notificaciones push"/>
    <s v="Copilot generó todo lo que se le pidió, pero a raíz de las pruebas realizadas se evidenciaron requerimientos técnicos faltantes, por lo que se iteró constantemente para actualizar archivos design.md y task.md, luego aplicar los nuevos cambios. Fue un proceso iterativo."/>
    <s v="Se debe especificar al detalle para que copilot entregue todo lo necesario, evitar iteraciones para no demorar el desarrollo y gasto de créditos."/>
    <s v="Ninguno"/>
    <s v="En caso de falta de especificación, utilizar comando update y continue para actualizar especificación necesaria para archivos md"/>
    <s v="Generación de código"/>
  </r>
  <r>
    <x v="13"/>
    <x v="3"/>
    <s v="DEV"/>
    <s v="App &amp; Ecosistemas"/>
    <s v="Desarrollo"/>
    <s v="GitHub Copilot Agent Skills"/>
    <s v="GPT 5.6 Terra"/>
    <s v="Medio"/>
    <s v="No aplica"/>
    <s v="Generación de código"/>
    <n v="0"/>
    <n v="10"/>
    <n v="120"/>
    <s v="Éxito"/>
    <n v="5"/>
    <s v="No"/>
    <s v="Endpoint para reporte. En ese momento no se utilizaba openspec para el desarrollo guiado. Se abordó con análisis y generación de código a la vez"/>
    <s v="Ninguno"/>
    <s v="Ninguno"/>
    <s v="Ninguno"/>
    <m/>
    <s v="Análisis / Generación de código"/>
  </r>
  <r>
    <x v="3"/>
    <x v="3"/>
    <s v="DEV"/>
    <s v="App &amp; Ecosistemas"/>
    <s v="Análisis"/>
    <s v="Google Antigravity"/>
    <s v="Gemini pro 3.1"/>
    <s v="Alto"/>
    <s v="No aplica"/>
    <s v="Análisis de requerimientos"/>
    <n v="0"/>
    <n v="80"/>
    <n v="240"/>
    <s v="Éxito"/>
    <n v="5"/>
    <s v="No"/>
    <m/>
    <m/>
    <m/>
    <s v="Ninguno"/>
    <m/>
    <s v="Analisis de requerimientos"/>
  </r>
  <r>
    <x v="3"/>
    <x v="3"/>
    <s v="DEV"/>
    <s v="App &amp; Ecosistemas"/>
    <s v="Desarrollo"/>
    <s v="Google Antigravity"/>
    <s v="Gemini pro 3.1 / Opus 4.6"/>
    <s v="Medio"/>
    <s v="No aplica"/>
    <s v="Generación de código"/>
    <n v="0"/>
    <n v="40"/>
    <n v="480"/>
    <s v="Parcial"/>
    <n v="3"/>
    <s v="Sí"/>
    <s v="Reporte UI en frontend, utilizando gráficos"/>
    <s v="Gemini pro 3.1 no pudo ejecutar correctamente la UI, o formó bien le gráfico ni los estilos por sección. Opus 4.6 armó mejor la vista pero con un resultado parcial. Finalmente, se aplica vibecoding para terminar con la vista desarrollada correctamente."/>
    <s v="Opus 4.6 entregó un resultado más concreto, aunque parcial, el modelo opus demostró funcionar mejor en este caso. "/>
    <s v="Calidad o precisión"/>
    <s v="Asegurarse que al ejecutar desarrollos con antigravity, que use las skills de diseño, indicando su uso explícitamente para mejores resultados."/>
    <s v="Generación de código"/>
  </r>
  <r>
    <x v="14"/>
    <x v="3"/>
    <s v="DEV"/>
    <s v="App &amp; Ecosistemas"/>
    <s v="Análisis"/>
    <s v="GitHub Copilot Agent Skills"/>
    <s v="GPT 5.6 Terra"/>
    <s v="Medio"/>
    <s v="No aplica"/>
    <s v="Análisis de requerimientos"/>
    <s v="49.7"/>
    <n v="5"/>
    <n v="30"/>
    <s v="Éxito"/>
    <n v="5"/>
    <s v="No"/>
    <s v="Ninguno"/>
    <s v="Ninguno"/>
    <s v="Ninguno"/>
    <s v="Ninguno"/>
    <s v="Ninguno"/>
    <s v="Analisis de requerimientos"/>
  </r>
  <r>
    <x v="14"/>
    <x v="3"/>
    <s v="DEV"/>
    <s v="App &amp; Ecosistemas"/>
    <s v="Desarrollo"/>
    <s v="Google Antigravity"/>
    <s v="Gemini 3.8 flash"/>
    <s v="Medio"/>
    <s v="No aplica"/>
    <s v="Generación de código"/>
    <s v="6% de la sesión"/>
    <n v="16"/>
    <n v="60"/>
    <s v="Éxito"/>
    <n v="5"/>
    <s v="No"/>
    <s v="Quitar buscador de período en listado de notificaciones"/>
    <s v="Ninguno"/>
    <s v="Ninguno"/>
    <s v="Ninguno"/>
    <s v="Ninguno"/>
    <m/>
  </r>
  <r>
    <x v="14"/>
    <x v="2"/>
    <s v="DEV"/>
    <s v="App &amp; Ecosistemas"/>
    <s v="Análisis"/>
    <s v="Claude Code"/>
    <s v="Opus 5, plan Pro"/>
    <s v="No aplica"/>
    <s v="No aplica"/>
    <s v="Análisis de requerimientos"/>
    <s v="35% de la sesion"/>
    <n v="60"/>
    <n v="120"/>
    <s v="Éxito"/>
    <n v="5"/>
    <s v="Sí"/>
    <s v="Correccion de bug al descargar las audiencias en el detalle de notificacion, implementar la descarga de audiencias en el paso 4 de confirmacion."/>
    <s v="No se encontraron problemas"/>
    <s v="Ninguno"/>
    <s v="Ninguno"/>
    <s v="Ninguno"/>
    <s v="Analisis de requerimientos"/>
  </r>
  <r>
    <x v="14"/>
    <x v="3"/>
    <s v="DEV"/>
    <s v="App &amp; Ecosistemas"/>
    <s v="Análisis"/>
    <s v="GitHub Copilot Agent Skills"/>
    <s v="GPT 5.6 Terra"/>
    <s v="Medio"/>
    <s v="No aplica"/>
    <s v="Análisis de requerimientos"/>
    <s v="153.3"/>
    <n v="15"/>
    <n v="30"/>
    <s v="Éxito"/>
    <n v="5"/>
    <s v="No"/>
    <s v="Análisis en front para refactorización"/>
    <s v="Ninguno"/>
    <s v="Ninguno"/>
    <s v="Ninguno"/>
    <s v="Ninguno"/>
    <s v="Analisis de requerimientos"/>
  </r>
  <r>
    <x v="14"/>
    <x v="3"/>
    <s v="DEV"/>
    <s v="App &amp; Ecosistemas"/>
    <s v="Desarrollo"/>
    <s v="Google Antigravity"/>
    <s v="Gemini 3.8 flash"/>
    <s v="Medio"/>
    <s v="No aplica"/>
    <s v="Generación de código"/>
    <s v="3% de la sesión"/>
    <n v="20"/>
    <n v="60"/>
    <s v="Éxito"/>
    <n v="5"/>
    <s v="No"/>
    <s v="Ejecución de código para refactorización"/>
    <s v="Ninguno"/>
    <s v="Ninguno"/>
    <s v="Ninguno"/>
    <s v="Ninguno"/>
    <s v="Generación de código"/>
  </r>
  <r>
    <x v="14"/>
    <x v="2"/>
    <s v="DEV"/>
    <s v="App &amp; Ecosistemas"/>
    <s v="Desarrollo"/>
    <s v="Claude Code"/>
    <s v="Sonnet 5, plan Pro"/>
    <s v="No aplica"/>
    <s v="No aplica"/>
    <s v="Generación de código"/>
    <s v="100% de la sesion"/>
    <n v="60"/>
    <n v="0"/>
    <s v="Fallido"/>
    <n v="3"/>
    <s v="Sí"/>
    <s v="Correccion de bug al descargar las audiencias en el detalle de notificacion, implementar la descarga de audiencias en el paso 4 de confirmacion."/>
    <s v="El desarrollo de las tasks se completaron parcialmente, si bien hizo toda la implementacion del codigo backend, falto el code-review, strict-verify y el desarrollo del frontend. Esto debido a que, al momento de lanzar el code-review consumio el 100% de la sesion, siendo que estaba recien en 2%, por ende, la implementacion no se pudo completar y tuve que recurrir a otra IA (antigravity)"/>
    <s v="El problema ocurrio, debido a que se dejo corriendo durante la hora de almuerzo el proceso, el cual necesitaba una aprobacion de parte humana."/>
    <s v="Calidad o precisión"/>
    <s v="Al realizar las tasks, abrir una nueva ventana de claude, para no consumir todos los tokens"/>
    <s v="Generación de código"/>
  </r>
  <r>
    <x v="15"/>
    <x v="4"/>
    <s v="LT"/>
    <s v="App móvil"/>
    <s v="Testing / QA"/>
    <s v="GitHub Copilot Chat"/>
    <s v="Claude Sonnet 5"/>
    <s v="Alto"/>
    <s v="Postman.postman-for-vscode"/>
    <s v="Generación de tests"/>
    <s v="102.5"/>
    <n v="30"/>
    <n v="480"/>
    <s v="Éxito"/>
    <n v="3"/>
    <s v="Sí"/>
    <s v="Creación de tests para colección de Postman con Backend completo de la App Móvil. Cada endpoint deberá tener al menos un tests según cada caso."/>
    <s v="Endpoints que aún están en desarrollo pero son parte del catálogo de servicios del backend."/>
    <s v="Ninguno"/>
    <s v="Ninguno"/>
    <s v="Ninguno"/>
    <s v="Tests, Postman, colección de endpoints, backend, documentación, automatización de pruebas"/>
  </r>
  <r>
    <x v="15"/>
    <x v="3"/>
    <s v="DEV"/>
    <s v="App &amp; Ecosistemas"/>
    <s v="Análisis"/>
    <s v="GitHub Copilot Agent Skills"/>
    <s v="GPT 5.6 Terra"/>
    <s v="Alto"/>
    <s v="No aplica"/>
    <s v="Análisis de requerimientos"/>
    <s v="732.1"/>
    <n v="40"/>
    <n v="80"/>
    <s v="Éxito"/>
    <n v="5"/>
    <s v="No"/>
    <s v="Análisis y especificación para envío de prueba de notificación push en backend"/>
    <s v="Ninguno"/>
    <s v="Ninguno"/>
    <s v="Ninguno"/>
    <s v="Ninguno"/>
    <s v="Analisis de requerimientos"/>
  </r>
  <r>
    <x v="15"/>
    <x v="3"/>
    <s v="DEV"/>
    <s v="App &amp; Ecosistemas"/>
    <s v="Desarrollo"/>
    <s v="Google Antigravity"/>
    <s v="Gemini 3.8 flash"/>
    <s v="Alto"/>
    <s v="No aplica"/>
    <s v="Generación de código"/>
    <s v="21% de la sesion"/>
    <n v="30"/>
    <n v="240"/>
    <s v="Parcial"/>
    <n v="4"/>
    <s v="Sí"/>
    <s v="Generación de código para envío de prueba push"/>
    <s v="A pesar de especificar, no actualizó una especificación dentro del flujo. Al momento de generar los artefactos md, le faltó agregar corregir una respuesta que luego me rechazó la verificación."/>
    <s v="Asegurar que el propose, design y task estén alineados para no encontrar incongruencias al verificar."/>
    <s v="Ninguno"/>
    <s v="Validar manualmente los artefactos md."/>
    <s v="Generación de códig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6D28C4-13F2-41F6-93DE-30D9E3060BFB}" name="TablaDinámica1" cacheId="8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22" firstHeaderRow="1" firstDataRow="1" firstDataCol="1"/>
  <pivotFields count="24">
    <pivotField axis="axisRow" numFmtId="164" showAll="0">
      <items count="17">
        <item x="0"/>
        <item x="1"/>
        <item x="2"/>
        <item x="13"/>
        <item x="3"/>
        <item x="4"/>
        <item x="12"/>
        <item x="5"/>
        <item x="6"/>
        <item x="7"/>
        <item x="8"/>
        <item x="9"/>
        <item x="11"/>
        <item x="10"/>
        <item x="14"/>
        <item x="15"/>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x="8"/>
        <item x="9"/>
        <item sd="0" x="10"/>
        <item sd="0" x="11"/>
        <item sd="0" x="12"/>
        <item sd="0" x="13"/>
        <item t="default"/>
      </items>
    </pivotField>
  </pivotFields>
  <rowFields count="3">
    <field x="23"/>
    <field x="22"/>
    <field x="0"/>
  </rowFields>
  <rowItems count="19">
    <i>
      <x v="8"/>
    </i>
    <i r="1">
      <x v="224"/>
    </i>
    <i r="1">
      <x v="227"/>
    </i>
    <i r="1">
      <x v="231"/>
    </i>
    <i r="1">
      <x v="233"/>
    </i>
    <i r="1">
      <x v="234"/>
    </i>
    <i r="1">
      <x v="238"/>
    </i>
    <i r="1">
      <x v="239"/>
    </i>
    <i r="1">
      <x v="240"/>
    </i>
    <i r="1">
      <x v="241"/>
    </i>
    <i r="1">
      <x v="244"/>
    </i>
    <i>
      <x v="9"/>
    </i>
    <i r="1">
      <x v="246"/>
    </i>
    <i r="1">
      <x v="248"/>
    </i>
    <i r="1">
      <x v="251"/>
    </i>
    <i r="1">
      <x v="252"/>
    </i>
    <i r="1">
      <x v="253"/>
    </i>
    <i r="1">
      <x v="254"/>
    </i>
    <i t="grand">
      <x/>
    </i>
  </rowItems>
  <colItems count="1">
    <i/>
  </colItems>
  <dataFields count="1">
    <dataField name="Cuenta de Tarea / Contexto"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529813-7CE5-460A-9FF0-32605E71B195}" name="TablaDinámica2" cacheId="8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9" firstHeaderRow="1" firstDataRow="1" firstDataCol="1"/>
  <pivotFields count="24">
    <pivotField numFmtId="164" showAll="0">
      <items count="17">
        <item x="0"/>
        <item x="1"/>
        <item x="2"/>
        <item x="13"/>
        <item x="3"/>
        <item x="4"/>
        <item x="12"/>
        <item x="5"/>
        <item x="6"/>
        <item x="7"/>
        <item x="8"/>
        <item x="9"/>
        <item x="11"/>
        <item x="10"/>
        <item x="14"/>
        <item x="15"/>
        <item t="default"/>
      </items>
    </pivotField>
    <pivotField axis="axisRow" showAll="0">
      <items count="6">
        <item x="2"/>
        <item x="1"/>
        <item x="4"/>
        <item x="3"/>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6">
    <i>
      <x/>
    </i>
    <i>
      <x v="1"/>
    </i>
    <i>
      <x v="2"/>
    </i>
    <i>
      <x v="3"/>
    </i>
    <i>
      <x v="4"/>
    </i>
    <i t="grand">
      <x/>
    </i>
  </rowItems>
  <colItems count="1">
    <i/>
  </colItems>
  <dataFields count="1">
    <dataField name="Cuenta de Tarea / Contexto"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K1" dT="2026-09-07T19:56:36.01" personId="{42375044-CE94-4E45-9A79-054C5D3F341E}" id="{131ECB47-C512-4662-9E02-E73012DD2824}">
    <text>0 = Sin información o detalle de los tokens consumidos</text>
  </threadedComment>
</ThreadedComment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5B182-8F10-481E-B2FD-03B2F52940F6}">
  <dimension ref="A3:B22"/>
  <sheetViews>
    <sheetView workbookViewId="0">
      <selection activeCell="B7" sqref="B7"/>
    </sheetView>
  </sheetViews>
  <sheetFormatPr defaultColWidth="11.42578125" defaultRowHeight="15"/>
  <cols>
    <col min="1" max="1" width="16.5703125" bestFit="1" customWidth="1"/>
    <col min="2" max="2" width="24.140625" bestFit="1" customWidth="1"/>
  </cols>
  <sheetData>
    <row r="3" spans="1:2">
      <c r="A3" s="27" t="s">
        <v>0</v>
      </c>
      <c r="B3" t="s">
        <v>1</v>
      </c>
    </row>
    <row r="4" spans="1:2">
      <c r="A4" s="28" t="s">
        <v>2</v>
      </c>
      <c r="B4">
        <v>19</v>
      </c>
    </row>
    <row r="5" spans="1:2">
      <c r="A5" s="29" t="s">
        <v>3</v>
      </c>
      <c r="B5">
        <v>1</v>
      </c>
    </row>
    <row r="6" spans="1:2">
      <c r="A6" s="29" t="s">
        <v>4</v>
      </c>
      <c r="B6">
        <v>1</v>
      </c>
    </row>
    <row r="7" spans="1:2">
      <c r="A7" s="29" t="s">
        <v>5</v>
      </c>
      <c r="B7">
        <v>1</v>
      </c>
    </row>
    <row r="8" spans="1:2">
      <c r="A8" s="29" t="s">
        <v>6</v>
      </c>
      <c r="B8">
        <v>1</v>
      </c>
    </row>
    <row r="9" spans="1:2">
      <c r="A9" s="29" t="s">
        <v>7</v>
      </c>
      <c r="B9">
        <v>3</v>
      </c>
    </row>
    <row r="10" spans="1:2">
      <c r="A10" s="29" t="s">
        <v>8</v>
      </c>
      <c r="B10">
        <v>5</v>
      </c>
    </row>
    <row r="11" spans="1:2">
      <c r="A11" s="29" t="s">
        <v>9</v>
      </c>
      <c r="B11">
        <v>2</v>
      </c>
    </row>
    <row r="12" spans="1:2">
      <c r="A12" s="29" t="s">
        <v>10</v>
      </c>
      <c r="B12">
        <v>3</v>
      </c>
    </row>
    <row r="13" spans="1:2">
      <c r="A13" s="29" t="s">
        <v>11</v>
      </c>
      <c r="B13">
        <v>1</v>
      </c>
    </row>
    <row r="14" spans="1:2">
      <c r="A14" s="29" t="s">
        <v>12</v>
      </c>
      <c r="B14">
        <v>1</v>
      </c>
    </row>
    <row r="15" spans="1:2">
      <c r="A15" s="28" t="s">
        <v>13</v>
      </c>
      <c r="B15">
        <v>22</v>
      </c>
    </row>
    <row r="16" spans="1:2">
      <c r="A16" s="29" t="s">
        <v>14</v>
      </c>
      <c r="B16">
        <v>2</v>
      </c>
    </row>
    <row r="17" spans="1:2">
      <c r="A17" s="29" t="s">
        <v>15</v>
      </c>
      <c r="B17">
        <v>2</v>
      </c>
    </row>
    <row r="18" spans="1:2">
      <c r="A18" s="29" t="s">
        <v>16</v>
      </c>
      <c r="B18">
        <v>4</v>
      </c>
    </row>
    <row r="19" spans="1:2">
      <c r="A19" s="29" t="s">
        <v>17</v>
      </c>
      <c r="B19">
        <v>5</v>
      </c>
    </row>
    <row r="20" spans="1:2">
      <c r="A20" s="29" t="s">
        <v>18</v>
      </c>
      <c r="B20">
        <v>6</v>
      </c>
    </row>
    <row r="21" spans="1:2">
      <c r="A21" s="29" t="s">
        <v>19</v>
      </c>
      <c r="B21">
        <v>3</v>
      </c>
    </row>
    <row r="22" spans="1:2">
      <c r="A22" s="28" t="s">
        <v>20</v>
      </c>
      <c r="B22">
        <v>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2CA13-BC1A-4E0B-A481-3559E1ADEAF6}">
  <dimension ref="A3:B9"/>
  <sheetViews>
    <sheetView workbookViewId="0">
      <selection activeCell="B21" sqref="B21"/>
    </sheetView>
  </sheetViews>
  <sheetFormatPr defaultColWidth="11.42578125" defaultRowHeight="15"/>
  <cols>
    <col min="1" max="1" width="18" bestFit="1" customWidth="1"/>
    <col min="2" max="2" width="24.140625" bestFit="1" customWidth="1"/>
  </cols>
  <sheetData>
    <row r="3" spans="1:2">
      <c r="A3" s="27" t="s">
        <v>0</v>
      </c>
      <c r="B3" t="s">
        <v>1</v>
      </c>
    </row>
    <row r="4" spans="1:2">
      <c r="A4" s="28" t="s">
        <v>21</v>
      </c>
      <c r="B4">
        <v>7</v>
      </c>
    </row>
    <row r="5" spans="1:2">
      <c r="A5" s="28" t="s">
        <v>22</v>
      </c>
      <c r="B5">
        <v>1</v>
      </c>
    </row>
    <row r="6" spans="1:2">
      <c r="A6" s="28" t="s">
        <v>23</v>
      </c>
      <c r="B6">
        <v>1</v>
      </c>
    </row>
    <row r="7" spans="1:2">
      <c r="A7" s="28" t="s">
        <v>24</v>
      </c>
      <c r="B7">
        <v>15</v>
      </c>
    </row>
    <row r="8" spans="1:2">
      <c r="A8" s="28" t="s">
        <v>25</v>
      </c>
      <c r="B8">
        <v>17</v>
      </c>
    </row>
    <row r="9" spans="1:2">
      <c r="A9" s="28" t="s">
        <v>20</v>
      </c>
      <c r="B9">
        <v>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518"/>
  <sheetViews>
    <sheetView tabSelected="1" zoomScaleNormal="100" workbookViewId="0">
      <pane ySplit="1" topLeftCell="M81" activePane="bottomLeft" state="frozen"/>
      <selection pane="bottomLeft" activeCell="S87" sqref="S87"/>
    </sheetView>
  </sheetViews>
  <sheetFormatPr defaultColWidth="8.5703125" defaultRowHeight="15" customHeight="1"/>
  <cols>
    <col min="1" max="1" width="16.28515625" customWidth="1"/>
    <col min="2" max="2" width="18.140625" customWidth="1"/>
    <col min="3" max="3" width="14" customWidth="1"/>
    <col min="4" max="4" width="20" customWidth="1"/>
    <col min="5" max="5" width="16" customWidth="1"/>
    <col min="6" max="6" width="24" customWidth="1"/>
    <col min="7" max="7" width="20" customWidth="1"/>
    <col min="8" max="8" width="16" style="22" customWidth="1"/>
    <col min="9" max="9" width="24" bestFit="1" customWidth="1"/>
    <col min="10" max="10" width="22" customWidth="1"/>
    <col min="11" max="11" width="16" style="26" customWidth="1"/>
    <col min="12" max="12" width="12" style="26" customWidth="1"/>
    <col min="13" max="13" width="14" style="26" customWidth="1"/>
    <col min="14" max="14" width="10" style="26" customWidth="1"/>
    <col min="15" max="15" width="12" style="26" customWidth="1"/>
    <col min="16" max="16" width="14" style="26" customWidth="1"/>
    <col min="17" max="17" width="45" style="17" customWidth="1"/>
    <col min="18" max="18" width="50.5703125" customWidth="1"/>
    <col min="19" max="19" width="32" customWidth="1"/>
    <col min="20" max="20" width="38.42578125" customWidth="1"/>
    <col min="21" max="21" width="32" customWidth="1"/>
    <col min="22" max="22" width="34.5703125" customWidth="1"/>
  </cols>
  <sheetData>
    <row r="1" spans="1:22" ht="61.5" customHeight="1">
      <c r="A1" s="1" t="s">
        <v>26</v>
      </c>
      <c r="B1" s="1" t="s">
        <v>27</v>
      </c>
      <c r="C1" s="1" t="s">
        <v>28</v>
      </c>
      <c r="D1" s="1" t="s">
        <v>29</v>
      </c>
      <c r="E1" s="1" t="s">
        <v>30</v>
      </c>
      <c r="F1" s="1" t="s">
        <v>31</v>
      </c>
      <c r="G1" s="1" t="s">
        <v>32</v>
      </c>
      <c r="H1" s="1" t="s">
        <v>33</v>
      </c>
      <c r="I1" s="1" t="s">
        <v>34</v>
      </c>
      <c r="J1" s="1" t="s">
        <v>35</v>
      </c>
      <c r="K1" s="18" t="s">
        <v>36</v>
      </c>
      <c r="L1" s="18" t="s">
        <v>37</v>
      </c>
      <c r="M1" s="18" t="s">
        <v>38</v>
      </c>
      <c r="N1" s="18" t="s">
        <v>39</v>
      </c>
      <c r="O1" s="18" t="s">
        <v>40</v>
      </c>
      <c r="P1" s="18" t="s">
        <v>41</v>
      </c>
      <c r="Q1" s="19" t="s">
        <v>42</v>
      </c>
      <c r="R1" s="19" t="s">
        <v>43</v>
      </c>
      <c r="S1" s="19" t="s">
        <v>44</v>
      </c>
      <c r="T1" s="19" t="s">
        <v>45</v>
      </c>
      <c r="U1" s="19" t="s">
        <v>46</v>
      </c>
      <c r="V1" s="19" t="s">
        <v>47</v>
      </c>
    </row>
    <row r="2" spans="1:22" s="30" customFormat="1" ht="61.5" customHeight="1">
      <c r="A2" s="2">
        <v>46113</v>
      </c>
      <c r="B2" s="3" t="s">
        <v>25</v>
      </c>
      <c r="C2" s="3" t="s">
        <v>48</v>
      </c>
      <c r="D2" s="3" t="s">
        <v>49</v>
      </c>
      <c r="E2" s="3" t="s">
        <v>50</v>
      </c>
      <c r="F2" s="3" t="s">
        <v>51</v>
      </c>
      <c r="G2" s="3"/>
      <c r="H2" s="21" t="s">
        <v>52</v>
      </c>
      <c r="I2" s="3" t="s">
        <v>53</v>
      </c>
      <c r="J2" s="3" t="s">
        <v>54</v>
      </c>
      <c r="K2" s="24" t="s">
        <v>55</v>
      </c>
      <c r="L2" s="24"/>
      <c r="M2" s="24"/>
      <c r="N2" s="24"/>
      <c r="O2" s="24"/>
      <c r="P2" s="24"/>
      <c r="Q2" s="17" t="s">
        <v>56</v>
      </c>
      <c r="R2" s="3" t="s">
        <v>57</v>
      </c>
      <c r="S2" s="3" t="s">
        <v>57</v>
      </c>
      <c r="T2" s="3" t="s">
        <v>57</v>
      </c>
      <c r="U2" s="3" t="s">
        <v>57</v>
      </c>
      <c r="V2" s="3" t="s">
        <v>54</v>
      </c>
    </row>
    <row r="3" spans="1:22" ht="61.5" customHeight="1">
      <c r="A3" s="2">
        <v>46161</v>
      </c>
      <c r="B3" s="3" t="s">
        <v>24</v>
      </c>
      <c r="C3" s="3" t="s">
        <v>58</v>
      </c>
      <c r="D3" s="3" t="s">
        <v>49</v>
      </c>
      <c r="E3" s="3" t="s">
        <v>50</v>
      </c>
      <c r="F3" s="3" t="s">
        <v>59</v>
      </c>
      <c r="G3" s="3" t="s">
        <v>60</v>
      </c>
      <c r="H3" s="21" t="s">
        <v>61</v>
      </c>
      <c r="I3" s="3" t="s">
        <v>62</v>
      </c>
      <c r="J3" s="3" t="s">
        <v>54</v>
      </c>
      <c r="K3" s="24">
        <v>0</v>
      </c>
      <c r="L3" s="24">
        <v>2400</v>
      </c>
      <c r="M3" s="24">
        <v>1440</v>
      </c>
      <c r="N3" s="24" t="s">
        <v>63</v>
      </c>
      <c r="O3" s="24">
        <v>3</v>
      </c>
      <c r="P3" s="24" t="s">
        <v>64</v>
      </c>
      <c r="Q3" s="17" t="s">
        <v>65</v>
      </c>
      <c r="R3" s="3" t="s">
        <v>66</v>
      </c>
      <c r="S3" s="3" t="s">
        <v>67</v>
      </c>
      <c r="T3" s="3" t="s">
        <v>68</v>
      </c>
      <c r="U3" s="3" t="s">
        <v>69</v>
      </c>
      <c r="V3" s="3" t="s">
        <v>54</v>
      </c>
    </row>
    <row r="4" spans="1:22" ht="61.5" customHeight="1">
      <c r="A4" s="2">
        <v>46199</v>
      </c>
      <c r="B4" s="3" t="s">
        <v>24</v>
      </c>
      <c r="C4" s="3" t="s">
        <v>58</v>
      </c>
      <c r="D4" s="3" t="s">
        <v>70</v>
      </c>
      <c r="E4" s="3" t="s">
        <v>50</v>
      </c>
      <c r="F4" s="3" t="s">
        <v>59</v>
      </c>
      <c r="G4" s="3" t="s">
        <v>60</v>
      </c>
      <c r="H4" s="21" t="s">
        <v>61</v>
      </c>
      <c r="I4" s="3" t="s">
        <v>62</v>
      </c>
      <c r="J4" s="3" t="s">
        <v>54</v>
      </c>
      <c r="K4" s="24">
        <v>0</v>
      </c>
      <c r="L4" s="24">
        <v>1440</v>
      </c>
      <c r="M4" s="24">
        <v>960</v>
      </c>
      <c r="N4" s="24" t="s">
        <v>63</v>
      </c>
      <c r="O4" s="24">
        <v>4</v>
      </c>
      <c r="P4" s="24" t="s">
        <v>64</v>
      </c>
      <c r="Q4" s="17" t="s">
        <v>71</v>
      </c>
      <c r="R4" s="3" t="s">
        <v>72</v>
      </c>
      <c r="S4" s="3" t="s">
        <v>73</v>
      </c>
      <c r="T4" s="3" t="s">
        <v>68</v>
      </c>
      <c r="U4" s="3" t="s">
        <v>74</v>
      </c>
      <c r="V4" s="3" t="s">
        <v>54</v>
      </c>
    </row>
    <row r="5" spans="1:22" ht="61.5" customHeight="1">
      <c r="A5" s="32">
        <v>46237</v>
      </c>
      <c r="B5" s="31" t="s">
        <v>21</v>
      </c>
      <c r="C5" s="31" t="s">
        <v>58</v>
      </c>
      <c r="D5" s="31" t="s">
        <v>49</v>
      </c>
      <c r="E5" s="31" t="s">
        <v>75</v>
      </c>
      <c r="F5" s="31" t="s">
        <v>76</v>
      </c>
      <c r="G5" s="31" t="s">
        <v>77</v>
      </c>
      <c r="H5" s="31" t="s">
        <v>61</v>
      </c>
      <c r="I5" s="31" t="s">
        <v>53</v>
      </c>
      <c r="J5" s="31" t="s">
        <v>78</v>
      </c>
      <c r="K5" s="31" t="s">
        <v>79</v>
      </c>
      <c r="L5" s="31">
        <v>60</v>
      </c>
      <c r="M5" s="31">
        <v>0</v>
      </c>
      <c r="N5" s="31" t="s">
        <v>80</v>
      </c>
      <c r="O5" s="31">
        <v>5</v>
      </c>
      <c r="P5" s="31" t="s">
        <v>81</v>
      </c>
      <c r="Q5" s="31" t="s">
        <v>82</v>
      </c>
      <c r="R5" s="31" t="s">
        <v>57</v>
      </c>
      <c r="S5" s="31" t="s">
        <v>57</v>
      </c>
      <c r="T5" s="31" t="s">
        <v>57</v>
      </c>
      <c r="U5" s="31" t="s">
        <v>57</v>
      </c>
      <c r="V5" s="31" t="s">
        <v>83</v>
      </c>
    </row>
    <row r="6" spans="1:22" ht="61.5" customHeight="1">
      <c r="A6" s="16">
        <v>46245</v>
      </c>
      <c r="B6" s="17" t="s">
        <v>25</v>
      </c>
      <c r="C6" s="17" t="s">
        <v>48</v>
      </c>
      <c r="D6" s="17" t="s">
        <v>49</v>
      </c>
      <c r="E6" s="17" t="s">
        <v>84</v>
      </c>
      <c r="F6" s="17" t="s">
        <v>85</v>
      </c>
      <c r="G6" s="17" t="s">
        <v>86</v>
      </c>
      <c r="H6" s="20" t="s">
        <v>61</v>
      </c>
      <c r="I6" s="17" t="s">
        <v>53</v>
      </c>
      <c r="J6" s="17" t="s">
        <v>78</v>
      </c>
      <c r="K6" s="23">
        <v>45</v>
      </c>
      <c r="L6" s="23">
        <v>120</v>
      </c>
      <c r="M6" s="23">
        <v>480</v>
      </c>
      <c r="N6" s="23" t="s">
        <v>87</v>
      </c>
      <c r="O6" s="23">
        <v>5</v>
      </c>
      <c r="P6" s="23" t="s">
        <v>64</v>
      </c>
      <c r="Q6" s="17" t="s">
        <v>88</v>
      </c>
      <c r="R6" s="17" t="s">
        <v>89</v>
      </c>
      <c r="S6" s="17" t="s">
        <v>90</v>
      </c>
      <c r="T6" s="17" t="s">
        <v>91</v>
      </c>
      <c r="U6" s="17" t="s">
        <v>92</v>
      </c>
      <c r="V6" s="17" t="s">
        <v>93</v>
      </c>
    </row>
    <row r="7" spans="1:22" ht="61.5" customHeight="1">
      <c r="A7" s="2">
        <v>46246</v>
      </c>
      <c r="B7" s="3" t="s">
        <v>24</v>
      </c>
      <c r="C7" s="3" t="s">
        <v>58</v>
      </c>
      <c r="D7" s="3" t="s">
        <v>70</v>
      </c>
      <c r="E7" s="3" t="s">
        <v>50</v>
      </c>
      <c r="F7" s="3" t="s">
        <v>59</v>
      </c>
      <c r="G7" s="3" t="s">
        <v>60</v>
      </c>
      <c r="H7" s="21" t="s">
        <v>61</v>
      </c>
      <c r="I7" s="3" t="s">
        <v>62</v>
      </c>
      <c r="J7" s="3" t="s">
        <v>54</v>
      </c>
      <c r="K7" s="24">
        <v>0</v>
      </c>
      <c r="L7" s="24">
        <v>960</v>
      </c>
      <c r="M7" s="24">
        <v>240</v>
      </c>
      <c r="N7" s="24" t="s">
        <v>63</v>
      </c>
      <c r="O7" s="24">
        <v>3</v>
      </c>
      <c r="P7" s="24" t="s">
        <v>64</v>
      </c>
      <c r="Q7" s="17" t="s">
        <v>94</v>
      </c>
      <c r="R7" s="3" t="s">
        <v>95</v>
      </c>
      <c r="S7" s="3" t="s">
        <v>96</v>
      </c>
      <c r="T7" s="3" t="s">
        <v>68</v>
      </c>
      <c r="U7" s="3" t="s">
        <v>74</v>
      </c>
      <c r="V7" s="3" t="s">
        <v>54</v>
      </c>
    </row>
    <row r="8" spans="1:22" ht="61.5" customHeight="1">
      <c r="A8" s="2">
        <v>46248</v>
      </c>
      <c r="B8" s="3" t="s">
        <v>97</v>
      </c>
      <c r="C8" s="3" t="s">
        <v>58</v>
      </c>
      <c r="D8" s="3" t="s">
        <v>49</v>
      </c>
      <c r="E8" s="3" t="s">
        <v>84</v>
      </c>
      <c r="F8" s="3" t="s">
        <v>98</v>
      </c>
      <c r="G8" s="3" t="s">
        <v>99</v>
      </c>
      <c r="H8" s="21" t="s">
        <v>52</v>
      </c>
      <c r="I8" s="3" t="s">
        <v>53</v>
      </c>
      <c r="J8" s="3" t="s">
        <v>100</v>
      </c>
      <c r="K8" s="24" t="s">
        <v>101</v>
      </c>
      <c r="L8" s="24">
        <v>1620</v>
      </c>
      <c r="M8" s="24">
        <v>1620</v>
      </c>
      <c r="N8" s="24" t="s">
        <v>63</v>
      </c>
      <c r="O8" s="24">
        <v>5</v>
      </c>
      <c r="P8" s="24" t="s">
        <v>64</v>
      </c>
      <c r="Q8" s="17" t="s">
        <v>102</v>
      </c>
      <c r="R8" s="3" t="s">
        <v>57</v>
      </c>
      <c r="S8" s="3" t="s">
        <v>103</v>
      </c>
      <c r="T8" s="3" t="s">
        <v>57</v>
      </c>
      <c r="U8" s="3" t="s">
        <v>57</v>
      </c>
      <c r="V8" s="3" t="s">
        <v>104</v>
      </c>
    </row>
    <row r="9" spans="1:22" ht="61.5" customHeight="1">
      <c r="A9" s="2">
        <v>46248</v>
      </c>
      <c r="B9" s="3" t="s">
        <v>24</v>
      </c>
      <c r="C9" s="3" t="s">
        <v>58</v>
      </c>
      <c r="D9" s="3" t="s">
        <v>70</v>
      </c>
      <c r="E9" s="3" t="s">
        <v>50</v>
      </c>
      <c r="F9" s="3" t="s">
        <v>59</v>
      </c>
      <c r="G9" s="3" t="s">
        <v>60</v>
      </c>
      <c r="H9" s="21" t="s">
        <v>61</v>
      </c>
      <c r="I9" s="3" t="s">
        <v>53</v>
      </c>
      <c r="J9" s="3" t="s">
        <v>54</v>
      </c>
      <c r="K9" s="24">
        <v>0</v>
      </c>
      <c r="L9" s="24">
        <v>40</v>
      </c>
      <c r="M9" s="24">
        <v>240</v>
      </c>
      <c r="N9" s="24" t="s">
        <v>87</v>
      </c>
      <c r="O9" s="24">
        <v>5</v>
      </c>
      <c r="P9" s="24" t="s">
        <v>105</v>
      </c>
      <c r="Q9" s="17" t="s">
        <v>106</v>
      </c>
      <c r="R9" s="3" t="s">
        <v>57</v>
      </c>
      <c r="S9" s="3" t="s">
        <v>57</v>
      </c>
      <c r="T9" s="3" t="s">
        <v>57</v>
      </c>
      <c r="U9" s="3" t="s">
        <v>69</v>
      </c>
      <c r="V9" s="3" t="s">
        <v>54</v>
      </c>
    </row>
    <row r="10" spans="1:22" ht="61.5" customHeight="1">
      <c r="A10" s="2">
        <v>46248</v>
      </c>
      <c r="B10" s="3" t="s">
        <v>24</v>
      </c>
      <c r="C10" s="3" t="s">
        <v>58</v>
      </c>
      <c r="D10" s="3" t="s">
        <v>70</v>
      </c>
      <c r="E10" s="3" t="s">
        <v>50</v>
      </c>
      <c r="F10" s="3" t="s">
        <v>59</v>
      </c>
      <c r="G10" s="3" t="s">
        <v>107</v>
      </c>
      <c r="H10" s="21" t="s">
        <v>61</v>
      </c>
      <c r="I10" s="3" t="s">
        <v>53</v>
      </c>
      <c r="J10" s="3" t="s">
        <v>54</v>
      </c>
      <c r="K10" s="24" t="s">
        <v>108</v>
      </c>
      <c r="L10" s="24">
        <v>80</v>
      </c>
      <c r="M10" s="24">
        <v>480</v>
      </c>
      <c r="N10" s="24" t="s">
        <v>87</v>
      </c>
      <c r="O10" s="24">
        <v>5</v>
      </c>
      <c r="P10" s="24" t="s">
        <v>105</v>
      </c>
      <c r="Q10" s="17" t="s">
        <v>109</v>
      </c>
      <c r="R10" s="3" t="s">
        <v>57</v>
      </c>
      <c r="S10" s="3" t="s">
        <v>57</v>
      </c>
      <c r="T10" s="3" t="s">
        <v>57</v>
      </c>
      <c r="U10" s="3" t="s">
        <v>57</v>
      </c>
      <c r="V10" s="3" t="s">
        <v>54</v>
      </c>
    </row>
    <row r="11" spans="1:22" ht="61.5" customHeight="1">
      <c r="A11" s="2">
        <v>46249</v>
      </c>
      <c r="B11" s="3" t="s">
        <v>24</v>
      </c>
      <c r="C11" s="3" t="s">
        <v>58</v>
      </c>
      <c r="D11" s="3" t="s">
        <v>70</v>
      </c>
      <c r="E11" s="17" t="s">
        <v>84</v>
      </c>
      <c r="F11" s="3" t="s">
        <v>51</v>
      </c>
      <c r="G11" s="3" t="s">
        <v>110</v>
      </c>
      <c r="H11" s="21" t="s">
        <v>61</v>
      </c>
      <c r="I11" s="3" t="s">
        <v>53</v>
      </c>
      <c r="J11" s="3" t="s">
        <v>100</v>
      </c>
      <c r="K11" s="24" t="s">
        <v>111</v>
      </c>
      <c r="L11" s="24">
        <v>40</v>
      </c>
      <c r="M11" s="24">
        <v>120</v>
      </c>
      <c r="N11" s="23" t="s">
        <v>87</v>
      </c>
      <c r="O11" s="24">
        <v>5</v>
      </c>
      <c r="P11" s="24" t="s">
        <v>105</v>
      </c>
      <c r="Q11" s="17" t="s">
        <v>112</v>
      </c>
      <c r="R11" s="3" t="s">
        <v>57</v>
      </c>
      <c r="S11" s="3" t="s">
        <v>57</v>
      </c>
      <c r="T11" s="3" t="s">
        <v>57</v>
      </c>
      <c r="U11" s="3" t="s">
        <v>57</v>
      </c>
      <c r="V11" s="3" t="s">
        <v>113</v>
      </c>
    </row>
    <row r="12" spans="1:22" ht="61.5" customHeight="1">
      <c r="A12" s="2">
        <v>46249</v>
      </c>
      <c r="B12" s="3" t="s">
        <v>24</v>
      </c>
      <c r="C12" s="3" t="s">
        <v>58</v>
      </c>
      <c r="D12" s="3" t="s">
        <v>70</v>
      </c>
      <c r="E12" s="3" t="s">
        <v>50</v>
      </c>
      <c r="F12" s="3" t="s">
        <v>59</v>
      </c>
      <c r="G12" s="3" t="s">
        <v>107</v>
      </c>
      <c r="H12" s="21" t="s">
        <v>61</v>
      </c>
      <c r="I12" s="3" t="s">
        <v>53</v>
      </c>
      <c r="J12" s="3" t="s">
        <v>54</v>
      </c>
      <c r="K12" s="24" t="s">
        <v>114</v>
      </c>
      <c r="L12" s="24">
        <v>60</v>
      </c>
      <c r="M12" s="24">
        <v>240</v>
      </c>
      <c r="N12" s="24" t="s">
        <v>87</v>
      </c>
      <c r="O12" s="24">
        <v>5</v>
      </c>
      <c r="P12" s="24" t="s">
        <v>105</v>
      </c>
      <c r="Q12" s="17" t="s">
        <v>115</v>
      </c>
      <c r="R12" s="3" t="s">
        <v>116</v>
      </c>
      <c r="S12" s="3" t="s">
        <v>57</v>
      </c>
      <c r="T12" s="3" t="s">
        <v>57</v>
      </c>
      <c r="U12" s="3" t="s">
        <v>57</v>
      </c>
      <c r="V12" s="3" t="s">
        <v>54</v>
      </c>
    </row>
    <row r="13" spans="1:22" ht="61.5" customHeight="1">
      <c r="A13" s="2">
        <v>46250</v>
      </c>
      <c r="B13" s="3" t="s">
        <v>24</v>
      </c>
      <c r="C13" s="3" t="s">
        <v>58</v>
      </c>
      <c r="D13" s="3" t="s">
        <v>70</v>
      </c>
      <c r="E13" s="3" t="s">
        <v>50</v>
      </c>
      <c r="F13" s="3" t="s">
        <v>59</v>
      </c>
      <c r="G13" s="3" t="s">
        <v>107</v>
      </c>
      <c r="H13" s="21" t="s">
        <v>61</v>
      </c>
      <c r="I13" s="3" t="s">
        <v>53</v>
      </c>
      <c r="J13" s="3" t="s">
        <v>54</v>
      </c>
      <c r="K13" s="24" t="s">
        <v>117</v>
      </c>
      <c r="L13" s="24">
        <v>40</v>
      </c>
      <c r="M13" s="24">
        <v>240</v>
      </c>
      <c r="N13" s="24" t="s">
        <v>87</v>
      </c>
      <c r="O13" s="24">
        <v>4</v>
      </c>
      <c r="P13" s="24" t="s">
        <v>64</v>
      </c>
      <c r="Q13" s="17" t="s">
        <v>118</v>
      </c>
      <c r="R13" s="3" t="s">
        <v>119</v>
      </c>
      <c r="S13" s="3" t="s">
        <v>57</v>
      </c>
      <c r="T13" s="3" t="s">
        <v>68</v>
      </c>
      <c r="U13" s="3" t="s">
        <v>120</v>
      </c>
      <c r="V13" s="3" t="s">
        <v>54</v>
      </c>
    </row>
    <row r="14" spans="1:22" ht="61.5" customHeight="1">
      <c r="A14" s="2">
        <v>46250</v>
      </c>
      <c r="B14" s="3" t="s">
        <v>24</v>
      </c>
      <c r="C14" s="3" t="s">
        <v>58</v>
      </c>
      <c r="D14" s="3" t="s">
        <v>70</v>
      </c>
      <c r="E14" s="3" t="s">
        <v>50</v>
      </c>
      <c r="F14" s="3" t="s">
        <v>51</v>
      </c>
      <c r="G14" s="3" t="s">
        <v>110</v>
      </c>
      <c r="H14" s="21" t="s">
        <v>61</v>
      </c>
      <c r="I14" s="3" t="s">
        <v>53</v>
      </c>
      <c r="J14" s="3" t="s">
        <v>121</v>
      </c>
      <c r="K14" s="24" t="s">
        <v>122</v>
      </c>
      <c r="L14" s="24">
        <v>50</v>
      </c>
      <c r="M14" s="24">
        <v>240</v>
      </c>
      <c r="N14" s="24" t="s">
        <v>87</v>
      </c>
      <c r="O14" s="24">
        <v>5</v>
      </c>
      <c r="P14" s="24" t="s">
        <v>105</v>
      </c>
      <c r="Q14" s="17" t="s">
        <v>123</v>
      </c>
      <c r="R14" s="3" t="s">
        <v>57</v>
      </c>
      <c r="S14" s="3" t="s">
        <v>57</v>
      </c>
      <c r="T14" s="3" t="s">
        <v>57</v>
      </c>
      <c r="U14" s="3" t="s">
        <v>57</v>
      </c>
      <c r="V14" s="3" t="s">
        <v>113</v>
      </c>
    </row>
    <row r="15" spans="1:22" ht="61.5" customHeight="1">
      <c r="A15" s="16">
        <v>46251</v>
      </c>
      <c r="B15" s="3" t="s">
        <v>24</v>
      </c>
      <c r="C15" s="3" t="s">
        <v>58</v>
      </c>
      <c r="D15" s="3" t="s">
        <v>70</v>
      </c>
      <c r="E15" s="3" t="s">
        <v>50</v>
      </c>
      <c r="F15" s="3" t="s">
        <v>59</v>
      </c>
      <c r="G15" s="3" t="s">
        <v>107</v>
      </c>
      <c r="H15" s="21" t="s">
        <v>61</v>
      </c>
      <c r="I15" s="3" t="s">
        <v>53</v>
      </c>
      <c r="J15" s="3" t="s">
        <v>54</v>
      </c>
      <c r="K15" s="24" t="s">
        <v>124</v>
      </c>
      <c r="L15" s="24">
        <v>60</v>
      </c>
      <c r="M15" s="24">
        <v>300</v>
      </c>
      <c r="N15" s="24" t="s">
        <v>87</v>
      </c>
      <c r="O15" s="24">
        <v>5</v>
      </c>
      <c r="P15" s="24" t="s">
        <v>105</v>
      </c>
      <c r="Q15" s="17" t="s">
        <v>125</v>
      </c>
      <c r="R15" s="3" t="s">
        <v>57</v>
      </c>
      <c r="S15" s="3" t="s">
        <v>57</v>
      </c>
      <c r="T15" s="3" t="s">
        <v>57</v>
      </c>
      <c r="U15" s="3" t="s">
        <v>57</v>
      </c>
      <c r="V15" s="3" t="s">
        <v>54</v>
      </c>
    </row>
    <row r="16" spans="1:22" ht="61.5" customHeight="1">
      <c r="A16" s="16">
        <v>46252</v>
      </c>
      <c r="B16" s="17" t="s">
        <v>25</v>
      </c>
      <c r="C16" s="17" t="s">
        <v>48</v>
      </c>
      <c r="D16" s="17" t="s">
        <v>70</v>
      </c>
      <c r="E16" s="17" t="s">
        <v>126</v>
      </c>
      <c r="F16" s="17" t="s">
        <v>127</v>
      </c>
      <c r="G16" s="17" t="s">
        <v>86</v>
      </c>
      <c r="H16" s="20" t="s">
        <v>61</v>
      </c>
      <c r="I16" s="17" t="s">
        <v>53</v>
      </c>
      <c r="J16" s="17" t="s">
        <v>78</v>
      </c>
      <c r="K16" s="23">
        <v>80</v>
      </c>
      <c r="L16" s="23">
        <v>90</v>
      </c>
      <c r="M16" s="23">
        <v>360</v>
      </c>
      <c r="N16" s="23" t="s">
        <v>87</v>
      </c>
      <c r="O16" s="23">
        <v>5</v>
      </c>
      <c r="P16" s="23" t="s">
        <v>64</v>
      </c>
      <c r="Q16" s="17" t="s">
        <v>128</v>
      </c>
      <c r="R16" s="17" t="s">
        <v>129</v>
      </c>
      <c r="S16" s="17" t="s">
        <v>130</v>
      </c>
      <c r="T16" s="17" t="s">
        <v>131</v>
      </c>
      <c r="U16" s="17" t="s">
        <v>132</v>
      </c>
      <c r="V16" s="17" t="s">
        <v>93</v>
      </c>
    </row>
    <row r="17" spans="1:22" ht="61.5" customHeight="1">
      <c r="A17" s="2">
        <v>46253</v>
      </c>
      <c r="B17" s="3" t="s">
        <v>24</v>
      </c>
      <c r="C17" s="3" t="s">
        <v>58</v>
      </c>
      <c r="D17" s="3" t="s">
        <v>70</v>
      </c>
      <c r="E17" s="3" t="s">
        <v>50</v>
      </c>
      <c r="F17" s="3" t="s">
        <v>133</v>
      </c>
      <c r="G17" s="3" t="s">
        <v>110</v>
      </c>
      <c r="H17" s="21" t="s">
        <v>52</v>
      </c>
      <c r="I17" s="3" t="s">
        <v>53</v>
      </c>
      <c r="J17" s="3" t="s">
        <v>54</v>
      </c>
      <c r="K17" s="24">
        <v>0</v>
      </c>
      <c r="L17" s="24">
        <v>30</v>
      </c>
      <c r="M17" s="24">
        <v>240</v>
      </c>
      <c r="N17" s="24" t="s">
        <v>87</v>
      </c>
      <c r="O17" s="24">
        <v>5</v>
      </c>
      <c r="P17" s="24" t="s">
        <v>105</v>
      </c>
      <c r="Q17" s="17" t="s">
        <v>134</v>
      </c>
      <c r="R17" s="3" t="s">
        <v>57</v>
      </c>
      <c r="S17" s="3" t="s">
        <v>57</v>
      </c>
      <c r="T17" s="3" t="s">
        <v>57</v>
      </c>
      <c r="U17" s="3" t="s">
        <v>135</v>
      </c>
      <c r="V17" s="3" t="s">
        <v>54</v>
      </c>
    </row>
    <row r="18" spans="1:22" ht="61.5" customHeight="1">
      <c r="A18" s="2">
        <v>46253</v>
      </c>
      <c r="B18" s="3" t="s">
        <v>24</v>
      </c>
      <c r="C18" s="3" t="s">
        <v>58</v>
      </c>
      <c r="D18" s="3" t="s">
        <v>70</v>
      </c>
      <c r="E18" s="3" t="s">
        <v>50</v>
      </c>
      <c r="F18" s="3" t="s">
        <v>59</v>
      </c>
      <c r="G18" s="3" t="s">
        <v>60</v>
      </c>
      <c r="H18" s="21" t="s">
        <v>61</v>
      </c>
      <c r="I18" s="3" t="s">
        <v>53</v>
      </c>
      <c r="J18" s="3" t="s">
        <v>54</v>
      </c>
      <c r="K18" s="24">
        <v>0</v>
      </c>
      <c r="L18" s="24">
        <v>40</v>
      </c>
      <c r="M18" s="24">
        <v>240</v>
      </c>
      <c r="N18" s="24" t="s">
        <v>63</v>
      </c>
      <c r="O18" s="24">
        <v>4</v>
      </c>
      <c r="P18" s="24" t="s">
        <v>64</v>
      </c>
      <c r="Q18" s="17" t="s">
        <v>136</v>
      </c>
      <c r="R18" s="3" t="s">
        <v>137</v>
      </c>
      <c r="S18" s="3" t="s">
        <v>138</v>
      </c>
      <c r="T18" s="3" t="s">
        <v>68</v>
      </c>
      <c r="U18" s="3" t="s">
        <v>139</v>
      </c>
      <c r="V18" s="3" t="s">
        <v>54</v>
      </c>
    </row>
    <row r="19" spans="1:22" ht="162.75" customHeight="1">
      <c r="A19" s="2">
        <v>46254</v>
      </c>
      <c r="B19" s="3" t="s">
        <v>24</v>
      </c>
      <c r="C19" s="3" t="s">
        <v>58</v>
      </c>
      <c r="D19" s="3" t="s">
        <v>70</v>
      </c>
      <c r="E19" s="3" t="s">
        <v>50</v>
      </c>
      <c r="F19" s="3" t="s">
        <v>51</v>
      </c>
      <c r="G19" s="3" t="s">
        <v>110</v>
      </c>
      <c r="H19" s="21" t="s">
        <v>52</v>
      </c>
      <c r="I19" s="3" t="s">
        <v>53</v>
      </c>
      <c r="J19" s="3" t="s">
        <v>54</v>
      </c>
      <c r="K19" s="24">
        <v>0</v>
      </c>
      <c r="L19" s="25">
        <v>10</v>
      </c>
      <c r="M19" s="24">
        <v>120</v>
      </c>
      <c r="N19" s="24" t="s">
        <v>87</v>
      </c>
      <c r="O19" s="24">
        <v>5</v>
      </c>
      <c r="P19" s="24" t="s">
        <v>105</v>
      </c>
      <c r="Q19" s="17" t="s">
        <v>140</v>
      </c>
      <c r="R19" s="3" t="s">
        <v>57</v>
      </c>
      <c r="S19" s="3" t="s">
        <v>57</v>
      </c>
      <c r="T19" s="3" t="s">
        <v>57</v>
      </c>
      <c r="U19" s="3"/>
      <c r="V19" s="3" t="s">
        <v>141</v>
      </c>
    </row>
    <row r="20" spans="1:22" ht="157.5" customHeight="1">
      <c r="A20" s="16">
        <v>46255</v>
      </c>
      <c r="B20" s="17" t="s">
        <v>25</v>
      </c>
      <c r="C20" s="17" t="s">
        <v>48</v>
      </c>
      <c r="D20" s="17" t="s">
        <v>49</v>
      </c>
      <c r="E20" s="17" t="s">
        <v>84</v>
      </c>
      <c r="F20" s="17" t="s">
        <v>142</v>
      </c>
      <c r="G20" s="17" t="s">
        <v>86</v>
      </c>
      <c r="H20" s="20" t="s">
        <v>61</v>
      </c>
      <c r="I20" s="17" t="s">
        <v>53</v>
      </c>
      <c r="J20" s="17" t="s">
        <v>78</v>
      </c>
      <c r="K20" s="23">
        <v>110</v>
      </c>
      <c r="L20" s="23">
        <v>120</v>
      </c>
      <c r="M20" s="23">
        <v>540</v>
      </c>
      <c r="N20" s="23" t="s">
        <v>87</v>
      </c>
      <c r="O20" s="23">
        <v>5</v>
      </c>
      <c r="P20" s="23" t="s">
        <v>64</v>
      </c>
      <c r="Q20" s="17" t="s">
        <v>143</v>
      </c>
      <c r="R20" s="17" t="s">
        <v>144</v>
      </c>
      <c r="S20" s="17" t="s">
        <v>145</v>
      </c>
      <c r="T20" s="17" t="s">
        <v>146</v>
      </c>
      <c r="U20" s="17" t="s">
        <v>147</v>
      </c>
      <c r="V20" s="17" t="s">
        <v>93</v>
      </c>
    </row>
    <row r="21" spans="1:22" ht="84" customHeight="1">
      <c r="A21" s="2">
        <v>46255</v>
      </c>
      <c r="B21" s="3" t="s">
        <v>24</v>
      </c>
      <c r="C21" s="3" t="s">
        <v>58</v>
      </c>
      <c r="D21" s="3" t="s">
        <v>70</v>
      </c>
      <c r="E21" s="3" t="s">
        <v>84</v>
      </c>
      <c r="F21" s="3" t="s">
        <v>59</v>
      </c>
      <c r="G21" s="3" t="s">
        <v>60</v>
      </c>
      <c r="H21" s="21" t="s">
        <v>61</v>
      </c>
      <c r="I21" s="3" t="s">
        <v>53</v>
      </c>
      <c r="J21" s="3" t="s">
        <v>100</v>
      </c>
      <c r="K21" s="24">
        <v>0</v>
      </c>
      <c r="L21" s="24">
        <v>80</v>
      </c>
      <c r="M21" s="24">
        <v>240</v>
      </c>
      <c r="N21" s="24" t="s">
        <v>87</v>
      </c>
      <c r="O21" s="24">
        <v>5</v>
      </c>
      <c r="P21" s="24" t="s">
        <v>105</v>
      </c>
      <c r="R21" s="3"/>
      <c r="S21" s="3"/>
      <c r="T21" s="3" t="s">
        <v>57</v>
      </c>
      <c r="U21" s="3"/>
      <c r="V21" s="3" t="s">
        <v>113</v>
      </c>
    </row>
    <row r="22" spans="1:22" ht="60">
      <c r="A22" s="2">
        <v>46255</v>
      </c>
      <c r="B22" s="3" t="s">
        <v>24</v>
      </c>
      <c r="C22" s="3" t="s">
        <v>58</v>
      </c>
      <c r="D22" s="3" t="s">
        <v>70</v>
      </c>
      <c r="E22" s="3" t="s">
        <v>50</v>
      </c>
      <c r="F22" s="3" t="s">
        <v>59</v>
      </c>
      <c r="G22" s="3" t="s">
        <v>148</v>
      </c>
      <c r="H22" s="21" t="s">
        <v>52</v>
      </c>
      <c r="I22" s="3" t="s">
        <v>53</v>
      </c>
      <c r="J22" s="3" t="s">
        <v>54</v>
      </c>
      <c r="K22" s="24">
        <v>0</v>
      </c>
      <c r="L22" s="24">
        <v>40</v>
      </c>
      <c r="M22" s="24">
        <v>480</v>
      </c>
      <c r="N22" s="24" t="s">
        <v>63</v>
      </c>
      <c r="O22" s="24">
        <v>3</v>
      </c>
      <c r="P22" s="24" t="s">
        <v>64</v>
      </c>
      <c r="Q22" s="17" t="s">
        <v>149</v>
      </c>
      <c r="R22" s="3" t="s">
        <v>150</v>
      </c>
      <c r="S22" s="3" t="s">
        <v>151</v>
      </c>
      <c r="T22" s="3" t="s">
        <v>68</v>
      </c>
      <c r="U22" s="3" t="s">
        <v>152</v>
      </c>
      <c r="V22" s="3" t="s">
        <v>54</v>
      </c>
    </row>
    <row r="23" spans="1:22" ht="60">
      <c r="A23" s="16">
        <v>46259</v>
      </c>
      <c r="B23" s="17" t="s">
        <v>25</v>
      </c>
      <c r="C23" s="17" t="s">
        <v>48</v>
      </c>
      <c r="D23" s="17" t="s">
        <v>49</v>
      </c>
      <c r="E23" s="17" t="s">
        <v>126</v>
      </c>
      <c r="F23" s="17" t="s">
        <v>127</v>
      </c>
      <c r="G23" s="17" t="s">
        <v>153</v>
      </c>
      <c r="H23" s="20" t="s">
        <v>154</v>
      </c>
      <c r="I23" s="17" t="s">
        <v>155</v>
      </c>
      <c r="J23" s="17" t="s">
        <v>78</v>
      </c>
      <c r="K23" s="23">
        <v>150</v>
      </c>
      <c r="L23" s="23">
        <v>150</v>
      </c>
      <c r="M23" s="23">
        <v>600</v>
      </c>
      <c r="N23" s="23" t="s">
        <v>87</v>
      </c>
      <c r="O23" s="23">
        <v>5</v>
      </c>
      <c r="P23" s="23" t="s">
        <v>64</v>
      </c>
      <c r="Q23" s="17" t="s">
        <v>156</v>
      </c>
      <c r="R23" s="17" t="s">
        <v>157</v>
      </c>
      <c r="S23" s="17" t="s">
        <v>158</v>
      </c>
      <c r="T23" s="17" t="s">
        <v>159</v>
      </c>
      <c r="U23" s="17" t="s">
        <v>160</v>
      </c>
      <c r="V23" s="17" t="s">
        <v>93</v>
      </c>
    </row>
    <row r="24" spans="1:22" ht="96">
      <c r="A24" s="16">
        <v>46259</v>
      </c>
      <c r="B24" s="17" t="s">
        <v>25</v>
      </c>
      <c r="C24" s="17" t="s">
        <v>48</v>
      </c>
      <c r="D24" s="17" t="s">
        <v>49</v>
      </c>
      <c r="E24" s="17" t="s">
        <v>50</v>
      </c>
      <c r="F24" s="17" t="s">
        <v>76</v>
      </c>
      <c r="G24" s="17" t="s">
        <v>161</v>
      </c>
      <c r="H24" s="20" t="s">
        <v>154</v>
      </c>
      <c r="I24" s="17" t="s">
        <v>53</v>
      </c>
      <c r="J24" s="17" t="s">
        <v>78</v>
      </c>
      <c r="K24" s="23">
        <v>60</v>
      </c>
      <c r="L24" s="23">
        <v>45</v>
      </c>
      <c r="M24" s="23">
        <v>180</v>
      </c>
      <c r="N24" s="23" t="s">
        <v>87</v>
      </c>
      <c r="O24" s="23">
        <v>5</v>
      </c>
      <c r="P24" s="23" t="s">
        <v>64</v>
      </c>
      <c r="Q24" s="17" t="s">
        <v>162</v>
      </c>
      <c r="R24" s="17" t="s">
        <v>163</v>
      </c>
      <c r="S24" s="17" t="s">
        <v>164</v>
      </c>
      <c r="T24" s="17" t="s">
        <v>165</v>
      </c>
      <c r="U24" s="17" t="s">
        <v>166</v>
      </c>
      <c r="V24" s="17" t="s">
        <v>93</v>
      </c>
    </row>
    <row r="25" spans="1:22" ht="59.25" customHeight="1">
      <c r="A25" s="16">
        <v>46259</v>
      </c>
      <c r="B25" s="17" t="s">
        <v>25</v>
      </c>
      <c r="C25" s="17" t="s">
        <v>48</v>
      </c>
      <c r="D25" s="17" t="s">
        <v>49</v>
      </c>
      <c r="E25" s="17" t="s">
        <v>84</v>
      </c>
      <c r="F25" s="17" t="s">
        <v>76</v>
      </c>
      <c r="G25" s="17" t="s">
        <v>161</v>
      </c>
      <c r="H25" s="20" t="s">
        <v>154</v>
      </c>
      <c r="I25" s="17" t="s">
        <v>53</v>
      </c>
      <c r="J25" s="17" t="s">
        <v>78</v>
      </c>
      <c r="K25" s="23">
        <v>55</v>
      </c>
      <c r="L25" s="23">
        <v>40</v>
      </c>
      <c r="M25" s="23">
        <v>240</v>
      </c>
      <c r="N25" s="23" t="s">
        <v>167</v>
      </c>
      <c r="O25" s="23">
        <v>5</v>
      </c>
      <c r="P25" s="23" t="s">
        <v>64</v>
      </c>
      <c r="Q25" s="17" t="s">
        <v>168</v>
      </c>
      <c r="R25" s="17" t="s">
        <v>169</v>
      </c>
      <c r="S25" s="17" t="s">
        <v>170</v>
      </c>
      <c r="T25" s="17" t="s">
        <v>171</v>
      </c>
      <c r="U25" s="17" t="s">
        <v>172</v>
      </c>
      <c r="V25" s="17" t="s">
        <v>93</v>
      </c>
    </row>
    <row r="26" spans="1:22" ht="59.25" customHeight="1">
      <c r="A26" s="16">
        <v>46259</v>
      </c>
      <c r="B26" s="17" t="s">
        <v>25</v>
      </c>
      <c r="C26" s="17" t="s">
        <v>48</v>
      </c>
      <c r="D26" s="17" t="s">
        <v>49</v>
      </c>
      <c r="E26" s="17" t="s">
        <v>84</v>
      </c>
      <c r="F26" s="17" t="s">
        <v>76</v>
      </c>
      <c r="G26" s="17" t="s">
        <v>161</v>
      </c>
      <c r="H26" s="20" t="s">
        <v>154</v>
      </c>
      <c r="I26" s="17" t="s">
        <v>53</v>
      </c>
      <c r="J26" s="17" t="s">
        <v>78</v>
      </c>
      <c r="K26" s="23">
        <v>70</v>
      </c>
      <c r="L26" s="23">
        <v>50</v>
      </c>
      <c r="M26" s="23">
        <v>300</v>
      </c>
      <c r="N26" s="23" t="s">
        <v>87</v>
      </c>
      <c r="O26" s="23">
        <v>5</v>
      </c>
      <c r="P26" s="23" t="s">
        <v>64</v>
      </c>
      <c r="Q26" s="17" t="s">
        <v>173</v>
      </c>
      <c r="R26" s="37" t="s">
        <v>174</v>
      </c>
      <c r="S26" s="37" t="s">
        <v>175</v>
      </c>
      <c r="T26" s="17" t="s">
        <v>176</v>
      </c>
      <c r="U26" s="17" t="s">
        <v>177</v>
      </c>
      <c r="V26" s="17" t="s">
        <v>93</v>
      </c>
    </row>
    <row r="27" spans="1:22" ht="96">
      <c r="A27" s="16">
        <v>46259</v>
      </c>
      <c r="B27" s="17" t="s">
        <v>25</v>
      </c>
      <c r="C27" s="17" t="s">
        <v>48</v>
      </c>
      <c r="D27" s="17" t="s">
        <v>49</v>
      </c>
      <c r="E27" s="17" t="s">
        <v>50</v>
      </c>
      <c r="F27" s="17" t="s">
        <v>76</v>
      </c>
      <c r="G27" s="17" t="s">
        <v>161</v>
      </c>
      <c r="H27" s="20" t="s">
        <v>61</v>
      </c>
      <c r="I27" s="17" t="s">
        <v>53</v>
      </c>
      <c r="J27" s="17" t="s">
        <v>78</v>
      </c>
      <c r="K27" s="23">
        <v>45</v>
      </c>
      <c r="L27" s="23">
        <v>35</v>
      </c>
      <c r="M27" s="23">
        <v>150</v>
      </c>
      <c r="N27" s="23" t="s">
        <v>87</v>
      </c>
      <c r="O27" s="23">
        <v>5</v>
      </c>
      <c r="P27" s="23" t="s">
        <v>64</v>
      </c>
      <c r="Q27" s="17" t="s">
        <v>178</v>
      </c>
      <c r="R27" s="17" t="s">
        <v>179</v>
      </c>
      <c r="S27" s="17" t="s">
        <v>180</v>
      </c>
      <c r="T27" s="17" t="s">
        <v>181</v>
      </c>
      <c r="U27" s="17" t="s">
        <v>182</v>
      </c>
      <c r="V27" s="17" t="s">
        <v>93</v>
      </c>
    </row>
    <row r="28" spans="1:22" ht="48">
      <c r="A28" s="2">
        <v>46260</v>
      </c>
      <c r="B28" s="3" t="s">
        <v>24</v>
      </c>
      <c r="C28" s="3" t="s">
        <v>58</v>
      </c>
      <c r="D28" s="3" t="s">
        <v>70</v>
      </c>
      <c r="E28" s="3" t="s">
        <v>84</v>
      </c>
      <c r="F28" s="3" t="s">
        <v>51</v>
      </c>
      <c r="G28" s="3" t="s">
        <v>110</v>
      </c>
      <c r="H28" s="21" t="s">
        <v>52</v>
      </c>
      <c r="I28" s="3" t="s">
        <v>53</v>
      </c>
      <c r="J28" s="3" t="s">
        <v>100</v>
      </c>
      <c r="K28" s="24" t="s">
        <v>183</v>
      </c>
      <c r="L28" s="24">
        <v>480</v>
      </c>
      <c r="M28" s="24">
        <v>960</v>
      </c>
      <c r="N28" s="24" t="s">
        <v>87</v>
      </c>
      <c r="O28" s="24">
        <v>5</v>
      </c>
      <c r="P28" s="24" t="s">
        <v>105</v>
      </c>
      <c r="Q28" s="17" t="s">
        <v>184</v>
      </c>
      <c r="R28" s="3" t="s">
        <v>57</v>
      </c>
      <c r="S28" s="3" t="s">
        <v>185</v>
      </c>
      <c r="T28" s="3" t="s">
        <v>57</v>
      </c>
      <c r="U28" s="3" t="s">
        <v>186</v>
      </c>
      <c r="V28" s="3" t="s">
        <v>187</v>
      </c>
    </row>
    <row r="29" spans="1:22" ht="60">
      <c r="A29" s="2">
        <v>46260</v>
      </c>
      <c r="B29" s="3" t="s">
        <v>24</v>
      </c>
      <c r="C29" s="3" t="s">
        <v>58</v>
      </c>
      <c r="D29" s="3" t="s">
        <v>70</v>
      </c>
      <c r="E29" s="3" t="s">
        <v>50</v>
      </c>
      <c r="F29" s="3" t="s">
        <v>51</v>
      </c>
      <c r="G29" s="3" t="s">
        <v>110</v>
      </c>
      <c r="H29" s="21" t="s">
        <v>52</v>
      </c>
      <c r="I29" s="3" t="s">
        <v>53</v>
      </c>
      <c r="J29" s="3" t="s">
        <v>54</v>
      </c>
      <c r="K29" s="24" t="s">
        <v>188</v>
      </c>
      <c r="L29" s="24">
        <v>480</v>
      </c>
      <c r="M29" s="24">
        <v>1440</v>
      </c>
      <c r="N29" s="24" t="s">
        <v>87</v>
      </c>
      <c r="O29" s="24">
        <v>5</v>
      </c>
      <c r="P29" s="24" t="s">
        <v>105</v>
      </c>
      <c r="Q29" s="17" t="s">
        <v>189</v>
      </c>
      <c r="R29" s="3" t="s">
        <v>190</v>
      </c>
      <c r="S29" s="3" t="s">
        <v>191</v>
      </c>
      <c r="T29" s="3" t="s">
        <v>57</v>
      </c>
      <c r="U29" s="3" t="s">
        <v>192</v>
      </c>
      <c r="V29" s="3" t="s">
        <v>54</v>
      </c>
    </row>
    <row r="30" spans="1:22" ht="84">
      <c r="A30" s="16">
        <v>46261</v>
      </c>
      <c r="B30" s="17" t="s">
        <v>25</v>
      </c>
      <c r="C30" s="17" t="s">
        <v>48</v>
      </c>
      <c r="D30" s="17" t="s">
        <v>70</v>
      </c>
      <c r="E30" s="17" t="s">
        <v>126</v>
      </c>
      <c r="F30" s="17" t="s">
        <v>76</v>
      </c>
      <c r="G30" s="17" t="s">
        <v>161</v>
      </c>
      <c r="H30" s="20" t="s">
        <v>61</v>
      </c>
      <c r="I30" s="17" t="s">
        <v>53</v>
      </c>
      <c r="J30" s="17" t="s">
        <v>78</v>
      </c>
      <c r="K30" s="23">
        <v>30</v>
      </c>
      <c r="L30" s="23">
        <v>25</v>
      </c>
      <c r="M30" s="23">
        <v>240</v>
      </c>
      <c r="N30" s="23" t="s">
        <v>87</v>
      </c>
      <c r="O30" s="23">
        <v>5</v>
      </c>
      <c r="P30" s="23" t="s">
        <v>64</v>
      </c>
      <c r="Q30" s="17" t="s">
        <v>193</v>
      </c>
      <c r="R30" s="17" t="s">
        <v>194</v>
      </c>
      <c r="S30" s="17" t="s">
        <v>195</v>
      </c>
      <c r="T30" s="17" t="s">
        <v>196</v>
      </c>
      <c r="U30" s="17" t="s">
        <v>197</v>
      </c>
      <c r="V30" s="17" t="s">
        <v>93</v>
      </c>
    </row>
    <row r="31" spans="1:22" ht="107.25">
      <c r="A31" s="16">
        <v>46261</v>
      </c>
      <c r="B31" s="17" t="s">
        <v>25</v>
      </c>
      <c r="C31" s="17" t="s">
        <v>48</v>
      </c>
      <c r="D31" s="17" t="s">
        <v>70</v>
      </c>
      <c r="E31" s="17" t="s">
        <v>50</v>
      </c>
      <c r="F31" s="17" t="s">
        <v>76</v>
      </c>
      <c r="G31" s="17" t="s">
        <v>161</v>
      </c>
      <c r="H31" s="20" t="s">
        <v>154</v>
      </c>
      <c r="I31" s="17" t="s">
        <v>53</v>
      </c>
      <c r="J31" s="17" t="s">
        <v>78</v>
      </c>
      <c r="K31" s="23">
        <v>65</v>
      </c>
      <c r="L31" s="23">
        <v>45</v>
      </c>
      <c r="M31" s="23">
        <v>300</v>
      </c>
      <c r="N31" s="23" t="s">
        <v>87</v>
      </c>
      <c r="O31" s="23">
        <v>4</v>
      </c>
      <c r="P31" s="23" t="s">
        <v>64</v>
      </c>
      <c r="Q31" s="17" t="s">
        <v>198</v>
      </c>
      <c r="R31" s="17" t="s">
        <v>199</v>
      </c>
      <c r="S31" s="17" t="s">
        <v>200</v>
      </c>
      <c r="T31" s="17" t="s">
        <v>201</v>
      </c>
      <c r="U31" s="17" t="s">
        <v>202</v>
      </c>
      <c r="V31" s="17" t="s">
        <v>93</v>
      </c>
    </row>
    <row r="32" spans="1:22" ht="107.25">
      <c r="A32" s="16">
        <v>46261</v>
      </c>
      <c r="B32" s="17" t="s">
        <v>25</v>
      </c>
      <c r="C32" s="17" t="s">
        <v>48</v>
      </c>
      <c r="D32" s="17" t="s">
        <v>49</v>
      </c>
      <c r="E32" s="17" t="s">
        <v>126</v>
      </c>
      <c r="F32" s="17" t="s">
        <v>76</v>
      </c>
      <c r="G32" s="17" t="s">
        <v>161</v>
      </c>
      <c r="H32" s="20" t="s">
        <v>154</v>
      </c>
      <c r="I32" s="17" t="s">
        <v>53</v>
      </c>
      <c r="J32" s="17" t="s">
        <v>78</v>
      </c>
      <c r="K32" s="23">
        <v>75</v>
      </c>
      <c r="L32" s="23">
        <v>55</v>
      </c>
      <c r="M32" s="23">
        <v>360</v>
      </c>
      <c r="N32" s="23" t="s">
        <v>87</v>
      </c>
      <c r="O32" s="23">
        <v>5</v>
      </c>
      <c r="P32" s="23" t="s">
        <v>64</v>
      </c>
      <c r="Q32" s="17" t="s">
        <v>203</v>
      </c>
      <c r="R32" s="17" t="s">
        <v>204</v>
      </c>
      <c r="S32" s="17" t="s">
        <v>205</v>
      </c>
      <c r="T32" s="17" t="s">
        <v>206</v>
      </c>
      <c r="U32" s="17" t="s">
        <v>207</v>
      </c>
      <c r="V32" s="17" t="s">
        <v>93</v>
      </c>
    </row>
    <row r="33" spans="1:22" ht="72">
      <c r="A33" s="16">
        <v>46262</v>
      </c>
      <c r="B33" s="17" t="s">
        <v>25</v>
      </c>
      <c r="C33" s="17" t="s">
        <v>48</v>
      </c>
      <c r="D33" s="17" t="s">
        <v>70</v>
      </c>
      <c r="E33" s="17" t="s">
        <v>75</v>
      </c>
      <c r="F33" s="17" t="s">
        <v>208</v>
      </c>
      <c r="G33" s="17" t="s">
        <v>209</v>
      </c>
      <c r="H33" s="20" t="s">
        <v>61</v>
      </c>
      <c r="I33" s="17" t="s">
        <v>53</v>
      </c>
      <c r="J33" s="17" t="s">
        <v>78</v>
      </c>
      <c r="K33" s="23">
        <v>0</v>
      </c>
      <c r="L33" s="23">
        <v>180</v>
      </c>
      <c r="M33" s="23">
        <v>720</v>
      </c>
      <c r="N33" s="23" t="s">
        <v>167</v>
      </c>
      <c r="O33" s="23">
        <v>5</v>
      </c>
      <c r="P33" s="23" t="s">
        <v>64</v>
      </c>
      <c r="Q33" s="17" t="s">
        <v>210</v>
      </c>
      <c r="R33" s="17" t="s">
        <v>211</v>
      </c>
      <c r="S33" s="17" t="s">
        <v>212</v>
      </c>
      <c r="T33" s="17" t="s">
        <v>213</v>
      </c>
      <c r="U33" s="17" t="s">
        <v>214</v>
      </c>
      <c r="V33" s="17" t="s">
        <v>93</v>
      </c>
    </row>
    <row r="34" spans="1:22" ht="60">
      <c r="A34" s="16">
        <v>46265</v>
      </c>
      <c r="B34" s="17" t="s">
        <v>25</v>
      </c>
      <c r="C34" s="17" t="s">
        <v>48</v>
      </c>
      <c r="D34" s="17" t="s">
        <v>49</v>
      </c>
      <c r="E34" s="17" t="s">
        <v>126</v>
      </c>
      <c r="F34" s="17" t="s">
        <v>127</v>
      </c>
      <c r="G34" s="17" t="s">
        <v>86</v>
      </c>
      <c r="H34" s="20" t="s">
        <v>61</v>
      </c>
      <c r="I34" s="17" t="s">
        <v>53</v>
      </c>
      <c r="J34" s="17" t="s">
        <v>78</v>
      </c>
      <c r="K34" s="23">
        <v>95</v>
      </c>
      <c r="L34" s="23">
        <v>100</v>
      </c>
      <c r="M34" s="23">
        <v>400</v>
      </c>
      <c r="N34" s="23" t="s">
        <v>87</v>
      </c>
      <c r="O34" s="23">
        <v>5</v>
      </c>
      <c r="P34" s="23" t="s">
        <v>64</v>
      </c>
      <c r="Q34" s="17" t="s">
        <v>215</v>
      </c>
      <c r="R34" s="17" t="s">
        <v>216</v>
      </c>
      <c r="S34" s="17" t="s">
        <v>217</v>
      </c>
      <c r="T34" s="17" t="s">
        <v>218</v>
      </c>
      <c r="U34" s="17" t="s">
        <v>219</v>
      </c>
      <c r="V34" s="17" t="s">
        <v>93</v>
      </c>
    </row>
    <row r="35" spans="1:22" ht="60">
      <c r="A35" s="16">
        <v>46267</v>
      </c>
      <c r="B35" s="17" t="s">
        <v>25</v>
      </c>
      <c r="C35" s="17" t="s">
        <v>48</v>
      </c>
      <c r="D35" s="17" t="s">
        <v>49</v>
      </c>
      <c r="E35" s="17" t="s">
        <v>50</v>
      </c>
      <c r="F35" s="17" t="s">
        <v>133</v>
      </c>
      <c r="G35" s="17" t="s">
        <v>86</v>
      </c>
      <c r="H35" s="20" t="s">
        <v>61</v>
      </c>
      <c r="I35" s="17" t="s">
        <v>53</v>
      </c>
      <c r="J35" s="17" t="s">
        <v>78</v>
      </c>
      <c r="K35" s="23">
        <v>120</v>
      </c>
      <c r="L35" s="23">
        <v>120</v>
      </c>
      <c r="M35" s="23">
        <v>480</v>
      </c>
      <c r="N35" s="23" t="s">
        <v>87</v>
      </c>
      <c r="O35" s="23">
        <v>5</v>
      </c>
      <c r="P35" s="23" t="s">
        <v>64</v>
      </c>
      <c r="Q35" s="17" t="s">
        <v>220</v>
      </c>
      <c r="R35" s="17" t="s">
        <v>221</v>
      </c>
      <c r="S35" s="17" t="s">
        <v>222</v>
      </c>
      <c r="T35" s="17" t="s">
        <v>223</v>
      </c>
      <c r="U35" s="17" t="s">
        <v>224</v>
      </c>
      <c r="V35" s="17" t="s">
        <v>93</v>
      </c>
    </row>
    <row r="36" spans="1:22" ht="96">
      <c r="A36" s="2">
        <v>46267</v>
      </c>
      <c r="B36" s="3" t="s">
        <v>21</v>
      </c>
      <c r="C36" s="3" t="s">
        <v>58</v>
      </c>
      <c r="D36" s="3" t="s">
        <v>70</v>
      </c>
      <c r="E36" s="3" t="s">
        <v>50</v>
      </c>
      <c r="F36" s="3" t="s">
        <v>133</v>
      </c>
      <c r="G36" s="4" t="s">
        <v>225</v>
      </c>
      <c r="H36" s="21" t="s">
        <v>53</v>
      </c>
      <c r="I36" s="3" t="s">
        <v>53</v>
      </c>
      <c r="J36" s="3" t="s">
        <v>226</v>
      </c>
      <c r="K36" s="24"/>
      <c r="L36" s="24">
        <v>60</v>
      </c>
      <c r="M36" s="24" t="s">
        <v>227</v>
      </c>
      <c r="N36" s="24" t="s">
        <v>228</v>
      </c>
      <c r="O36" s="24">
        <v>2</v>
      </c>
      <c r="P36" s="24" t="s">
        <v>64</v>
      </c>
      <c r="Q36" s="17" t="s">
        <v>229</v>
      </c>
      <c r="R36" s="3" t="s">
        <v>230</v>
      </c>
      <c r="S36" s="3" t="s">
        <v>53</v>
      </c>
      <c r="T36" s="3" t="s">
        <v>68</v>
      </c>
      <c r="U36" s="3" t="s">
        <v>231</v>
      </c>
      <c r="V36" s="3" t="s">
        <v>232</v>
      </c>
    </row>
    <row r="37" spans="1:22" ht="60">
      <c r="A37" s="16">
        <v>46269</v>
      </c>
      <c r="B37" s="17" t="s">
        <v>25</v>
      </c>
      <c r="C37" s="17" t="s">
        <v>48</v>
      </c>
      <c r="D37" s="17" t="s">
        <v>49</v>
      </c>
      <c r="E37" s="17" t="s">
        <v>50</v>
      </c>
      <c r="F37" s="17" t="s">
        <v>127</v>
      </c>
      <c r="G37" s="17" t="s">
        <v>153</v>
      </c>
      <c r="H37" s="20" t="s">
        <v>154</v>
      </c>
      <c r="I37" s="17" t="s">
        <v>53</v>
      </c>
      <c r="J37" s="17" t="s">
        <v>78</v>
      </c>
      <c r="K37" s="23">
        <v>85</v>
      </c>
      <c r="L37" s="23">
        <v>90</v>
      </c>
      <c r="M37" s="23">
        <v>360</v>
      </c>
      <c r="N37" s="23" t="s">
        <v>87</v>
      </c>
      <c r="O37" s="23">
        <v>5</v>
      </c>
      <c r="P37" s="23" t="s">
        <v>64</v>
      </c>
      <c r="Q37" s="17" t="s">
        <v>233</v>
      </c>
      <c r="R37" s="17" t="s">
        <v>234</v>
      </c>
      <c r="S37" s="17" t="s">
        <v>235</v>
      </c>
      <c r="T37" s="17" t="s">
        <v>236</v>
      </c>
      <c r="U37" s="17" t="s">
        <v>237</v>
      </c>
      <c r="V37" s="17" t="s">
        <v>93</v>
      </c>
    </row>
    <row r="38" spans="1:22" ht="118.5">
      <c r="A38" s="2">
        <v>46269</v>
      </c>
      <c r="B38" s="3" t="s">
        <v>22</v>
      </c>
      <c r="C38" s="3" t="s">
        <v>238</v>
      </c>
      <c r="D38" s="3" t="s">
        <v>70</v>
      </c>
      <c r="E38" s="3" t="s">
        <v>84</v>
      </c>
      <c r="F38" s="3" t="s">
        <v>98</v>
      </c>
      <c r="G38" s="4" t="s">
        <v>225</v>
      </c>
      <c r="H38" s="21" t="s">
        <v>53</v>
      </c>
      <c r="I38" s="3" t="s">
        <v>53</v>
      </c>
      <c r="J38" s="3" t="s">
        <v>239</v>
      </c>
      <c r="K38" s="24">
        <v>0</v>
      </c>
      <c r="L38" s="24">
        <v>60</v>
      </c>
      <c r="M38" s="24">
        <v>300</v>
      </c>
      <c r="N38" s="24" t="s">
        <v>87</v>
      </c>
      <c r="O38" s="24">
        <v>4</v>
      </c>
      <c r="P38" s="24" t="s">
        <v>64</v>
      </c>
      <c r="Q38" s="17" t="s">
        <v>240</v>
      </c>
      <c r="R38" s="3" t="s">
        <v>241</v>
      </c>
      <c r="S38" s="3" t="s">
        <v>242</v>
      </c>
      <c r="T38" s="3" t="s">
        <v>57</v>
      </c>
      <c r="U38" s="3" t="s">
        <v>243</v>
      </c>
      <c r="V38" s="3" t="s">
        <v>93</v>
      </c>
    </row>
    <row r="39" spans="1:22" ht="36">
      <c r="A39" s="2">
        <v>46272</v>
      </c>
      <c r="B39" s="3" t="s">
        <v>21</v>
      </c>
      <c r="C39" s="3" t="s">
        <v>58</v>
      </c>
      <c r="D39" s="3" t="s">
        <v>70</v>
      </c>
      <c r="E39" s="3" t="s">
        <v>84</v>
      </c>
      <c r="F39" s="3" t="s">
        <v>127</v>
      </c>
      <c r="G39" s="3" t="s">
        <v>244</v>
      </c>
      <c r="H39" s="21" t="s">
        <v>53</v>
      </c>
      <c r="I39" s="3" t="s">
        <v>53</v>
      </c>
      <c r="J39" s="3" t="s">
        <v>100</v>
      </c>
      <c r="K39" s="24" t="s">
        <v>245</v>
      </c>
      <c r="L39" s="24">
        <v>150</v>
      </c>
      <c r="M39" s="24">
        <v>210</v>
      </c>
      <c r="N39" s="24" t="s">
        <v>87</v>
      </c>
      <c r="O39" s="24">
        <v>5</v>
      </c>
      <c r="P39" s="24" t="s">
        <v>81</v>
      </c>
      <c r="Q39" s="17" t="s">
        <v>246</v>
      </c>
      <c r="R39" s="3" t="s">
        <v>247</v>
      </c>
      <c r="S39" s="3" t="s">
        <v>53</v>
      </c>
      <c r="T39" s="3" t="s">
        <v>57</v>
      </c>
      <c r="U39" s="3" t="s">
        <v>57</v>
      </c>
      <c r="V39" s="3" t="s">
        <v>113</v>
      </c>
    </row>
    <row r="40" spans="1:22" ht="36">
      <c r="A40" s="2">
        <v>46272</v>
      </c>
      <c r="B40" s="3" t="s">
        <v>21</v>
      </c>
      <c r="C40" s="3" t="s">
        <v>58</v>
      </c>
      <c r="D40" s="3" t="s">
        <v>70</v>
      </c>
      <c r="E40" s="3" t="s">
        <v>50</v>
      </c>
      <c r="F40" s="3" t="s">
        <v>127</v>
      </c>
      <c r="G40" s="3" t="s">
        <v>248</v>
      </c>
      <c r="H40" s="21" t="s">
        <v>53</v>
      </c>
      <c r="I40" s="3" t="s">
        <v>53</v>
      </c>
      <c r="J40" s="3" t="s">
        <v>54</v>
      </c>
      <c r="K40" s="24" t="s">
        <v>249</v>
      </c>
      <c r="L40" s="24">
        <v>120</v>
      </c>
      <c r="M40" s="24">
        <v>210</v>
      </c>
      <c r="N40" s="24" t="s">
        <v>87</v>
      </c>
      <c r="O40" s="24">
        <v>5</v>
      </c>
      <c r="P40" s="24" t="s">
        <v>64</v>
      </c>
      <c r="Q40" s="17" t="s">
        <v>250</v>
      </c>
      <c r="R40" s="3" t="s">
        <v>247</v>
      </c>
      <c r="S40" s="3" t="s">
        <v>53</v>
      </c>
      <c r="T40" s="3" t="s">
        <v>57</v>
      </c>
      <c r="U40" s="3" t="s">
        <v>57</v>
      </c>
      <c r="V40" s="3" t="s">
        <v>50</v>
      </c>
    </row>
    <row r="41" spans="1:22" ht="72">
      <c r="A41" s="2">
        <v>46272</v>
      </c>
      <c r="B41" s="3" t="s">
        <v>24</v>
      </c>
      <c r="C41" s="3" t="s">
        <v>58</v>
      </c>
      <c r="D41" s="3" t="s">
        <v>70</v>
      </c>
      <c r="E41" s="3" t="s">
        <v>84</v>
      </c>
      <c r="F41" s="3" t="s">
        <v>51</v>
      </c>
      <c r="G41" s="3" t="s">
        <v>110</v>
      </c>
      <c r="H41" s="21" t="s">
        <v>52</v>
      </c>
      <c r="I41" s="3" t="s">
        <v>53</v>
      </c>
      <c r="J41" s="3" t="s">
        <v>100</v>
      </c>
      <c r="K41" s="24" t="s">
        <v>251</v>
      </c>
      <c r="L41" s="24">
        <v>80</v>
      </c>
      <c r="M41" s="24">
        <v>160</v>
      </c>
      <c r="N41" s="24" t="s">
        <v>63</v>
      </c>
      <c r="O41" s="24">
        <v>4</v>
      </c>
      <c r="P41" s="24" t="s">
        <v>64</v>
      </c>
      <c r="R41" s="3" t="s">
        <v>252</v>
      </c>
      <c r="S41" s="3" t="s">
        <v>253</v>
      </c>
      <c r="T41" s="3" t="s">
        <v>68</v>
      </c>
      <c r="U41" s="3" t="s">
        <v>254</v>
      </c>
      <c r="V41" s="3" t="s">
        <v>113</v>
      </c>
    </row>
    <row r="42" spans="1:22" ht="72">
      <c r="A42" s="2">
        <v>46272</v>
      </c>
      <c r="B42" s="3" t="s">
        <v>24</v>
      </c>
      <c r="C42" s="3" t="s">
        <v>58</v>
      </c>
      <c r="D42" s="3" t="s">
        <v>70</v>
      </c>
      <c r="E42" s="3" t="s">
        <v>50</v>
      </c>
      <c r="F42" s="3" t="s">
        <v>59</v>
      </c>
      <c r="G42" s="3" t="s">
        <v>60</v>
      </c>
      <c r="H42" s="21" t="s">
        <v>61</v>
      </c>
      <c r="I42" s="3" t="s">
        <v>53</v>
      </c>
      <c r="J42" s="3" t="s">
        <v>54</v>
      </c>
      <c r="K42" s="24" t="s">
        <v>255</v>
      </c>
      <c r="L42" s="24">
        <v>140</v>
      </c>
      <c r="M42" s="24">
        <v>480</v>
      </c>
      <c r="N42" s="24" t="s">
        <v>63</v>
      </c>
      <c r="O42" s="24">
        <v>4</v>
      </c>
      <c r="P42" s="24" t="s">
        <v>64</v>
      </c>
      <c r="R42" s="3" t="s">
        <v>256</v>
      </c>
      <c r="S42" s="3" t="s">
        <v>257</v>
      </c>
      <c r="T42" s="3" t="s">
        <v>68</v>
      </c>
      <c r="U42" s="3" t="s">
        <v>258</v>
      </c>
      <c r="V42" s="3" t="s">
        <v>113</v>
      </c>
    </row>
    <row r="43" spans="1:22" ht="48">
      <c r="A43" s="16">
        <v>46273</v>
      </c>
      <c r="B43" s="17" t="s">
        <v>25</v>
      </c>
      <c r="C43" s="17" t="s">
        <v>48</v>
      </c>
      <c r="D43" s="17" t="s">
        <v>70</v>
      </c>
      <c r="E43" s="17" t="s">
        <v>126</v>
      </c>
      <c r="F43" s="17" t="s">
        <v>259</v>
      </c>
      <c r="G43" s="17" t="s">
        <v>260</v>
      </c>
      <c r="H43" s="20" t="s">
        <v>61</v>
      </c>
      <c r="I43" s="17" t="s">
        <v>53</v>
      </c>
      <c r="J43" s="17" t="s">
        <v>78</v>
      </c>
      <c r="K43" s="23">
        <v>140</v>
      </c>
      <c r="L43" s="23">
        <v>60</v>
      </c>
      <c r="M43" s="23">
        <v>240</v>
      </c>
      <c r="N43" s="23" t="s">
        <v>87</v>
      </c>
      <c r="O43" s="23">
        <v>5</v>
      </c>
      <c r="P43" s="23" t="s">
        <v>64</v>
      </c>
      <c r="Q43" s="17" t="s">
        <v>261</v>
      </c>
      <c r="R43" s="17" t="s">
        <v>262</v>
      </c>
      <c r="S43" s="17" t="s">
        <v>263</v>
      </c>
      <c r="T43" s="17" t="s">
        <v>264</v>
      </c>
      <c r="U43" s="17" t="s">
        <v>265</v>
      </c>
      <c r="V43" s="17" t="s">
        <v>93</v>
      </c>
    </row>
    <row r="44" spans="1:22" ht="72">
      <c r="A44" s="2">
        <v>46273</v>
      </c>
      <c r="B44" s="3" t="s">
        <v>21</v>
      </c>
      <c r="C44" s="3" t="s">
        <v>58</v>
      </c>
      <c r="D44" s="3" t="s">
        <v>70</v>
      </c>
      <c r="E44" s="3" t="s">
        <v>84</v>
      </c>
      <c r="F44" s="3" t="s">
        <v>127</v>
      </c>
      <c r="G44" s="3" t="s">
        <v>266</v>
      </c>
      <c r="H44" s="21" t="s">
        <v>53</v>
      </c>
      <c r="I44" s="3" t="s">
        <v>53</v>
      </c>
      <c r="J44" s="3" t="s">
        <v>100</v>
      </c>
      <c r="K44" s="24" t="s">
        <v>267</v>
      </c>
      <c r="L44" s="24">
        <v>120</v>
      </c>
      <c r="M44" s="24">
        <v>240</v>
      </c>
      <c r="N44" s="24" t="s">
        <v>87</v>
      </c>
      <c r="O44" s="24">
        <v>5</v>
      </c>
      <c r="P44" s="24" t="s">
        <v>81</v>
      </c>
      <c r="Q44" s="17" t="s">
        <v>268</v>
      </c>
      <c r="R44" s="3" t="s">
        <v>269</v>
      </c>
      <c r="S44" s="3" t="s">
        <v>270</v>
      </c>
      <c r="T44" s="3" t="s">
        <v>68</v>
      </c>
      <c r="U44" s="3" t="s">
        <v>271</v>
      </c>
      <c r="V44" s="3" t="s">
        <v>113</v>
      </c>
    </row>
    <row r="45" spans="1:22" ht="25.5" customHeight="1">
      <c r="A45" s="2">
        <v>46273</v>
      </c>
      <c r="B45" s="3" t="s">
        <v>21</v>
      </c>
      <c r="C45" s="3" t="s">
        <v>58</v>
      </c>
      <c r="D45" s="3" t="s">
        <v>70</v>
      </c>
      <c r="E45" s="3" t="s">
        <v>50</v>
      </c>
      <c r="F45" s="3" t="s">
        <v>127</v>
      </c>
      <c r="G45" s="3" t="s">
        <v>77</v>
      </c>
      <c r="H45" s="21" t="s">
        <v>53</v>
      </c>
      <c r="I45" s="3" t="s">
        <v>62</v>
      </c>
      <c r="J45" s="3" t="s">
        <v>54</v>
      </c>
      <c r="K45" s="24" t="s">
        <v>272</v>
      </c>
      <c r="L45" s="24">
        <v>60</v>
      </c>
      <c r="M45" s="24">
        <v>480</v>
      </c>
      <c r="N45" s="24" t="s">
        <v>87</v>
      </c>
      <c r="O45" s="24">
        <v>5</v>
      </c>
      <c r="P45" s="24" t="s">
        <v>64</v>
      </c>
      <c r="Q45" s="17" t="s">
        <v>273</v>
      </c>
      <c r="R45" s="3" t="s">
        <v>247</v>
      </c>
      <c r="S45" s="3" t="s">
        <v>53</v>
      </c>
      <c r="T45" s="3" t="s">
        <v>57</v>
      </c>
      <c r="U45" s="3" t="s">
        <v>57</v>
      </c>
      <c r="V45" s="3" t="s">
        <v>50</v>
      </c>
    </row>
    <row r="46" spans="1:22" ht="24">
      <c r="A46" s="2">
        <v>46273</v>
      </c>
      <c r="B46" s="3" t="s">
        <v>24</v>
      </c>
      <c r="C46" s="3" t="s">
        <v>58</v>
      </c>
      <c r="D46" s="3" t="s">
        <v>70</v>
      </c>
      <c r="E46" s="3" t="s">
        <v>84</v>
      </c>
      <c r="F46" s="3" t="s">
        <v>51</v>
      </c>
      <c r="G46" s="3" t="s">
        <v>110</v>
      </c>
      <c r="H46" s="21" t="s">
        <v>52</v>
      </c>
      <c r="I46" s="3" t="s">
        <v>53</v>
      </c>
      <c r="J46" s="3" t="s">
        <v>100</v>
      </c>
      <c r="K46" s="24" t="s">
        <v>274</v>
      </c>
      <c r="L46" s="24">
        <v>22</v>
      </c>
      <c r="M46" s="24">
        <v>60</v>
      </c>
      <c r="N46" s="24" t="s">
        <v>87</v>
      </c>
      <c r="O46" s="24">
        <v>5</v>
      </c>
      <c r="P46" s="24" t="s">
        <v>105</v>
      </c>
      <c r="Q46" s="3" t="s">
        <v>57</v>
      </c>
      <c r="R46" s="3" t="s">
        <v>57</v>
      </c>
      <c r="S46" s="3" t="s">
        <v>57</v>
      </c>
      <c r="T46" s="3" t="s">
        <v>57</v>
      </c>
      <c r="U46" s="3" t="s">
        <v>57</v>
      </c>
      <c r="V46" s="3" t="s">
        <v>57</v>
      </c>
    </row>
    <row r="47" spans="1:22" ht="72">
      <c r="A47" s="2">
        <v>46273</v>
      </c>
      <c r="B47" s="3" t="s">
        <v>24</v>
      </c>
      <c r="C47" s="3" t="s">
        <v>58</v>
      </c>
      <c r="D47" s="3" t="s">
        <v>70</v>
      </c>
      <c r="E47" s="3" t="s">
        <v>50</v>
      </c>
      <c r="F47" s="3" t="s">
        <v>59</v>
      </c>
      <c r="G47" s="3" t="s">
        <v>107</v>
      </c>
      <c r="H47" s="21" t="s">
        <v>52</v>
      </c>
      <c r="I47" s="3" t="s">
        <v>53</v>
      </c>
      <c r="J47" s="3" t="s">
        <v>121</v>
      </c>
      <c r="K47" s="24" t="s">
        <v>275</v>
      </c>
      <c r="L47" s="24">
        <v>8</v>
      </c>
      <c r="M47" s="24">
        <v>60</v>
      </c>
      <c r="N47" s="24" t="s">
        <v>87</v>
      </c>
      <c r="O47" s="24">
        <v>5</v>
      </c>
      <c r="P47" s="24" t="s">
        <v>64</v>
      </c>
      <c r="R47" s="3" t="s">
        <v>276</v>
      </c>
      <c r="S47" s="3" t="s">
        <v>277</v>
      </c>
      <c r="T47" s="3" t="s">
        <v>278</v>
      </c>
      <c r="U47" s="3" t="s">
        <v>279</v>
      </c>
      <c r="V47" s="3"/>
    </row>
    <row r="48" spans="1:22" ht="24">
      <c r="A48" s="2">
        <v>46274</v>
      </c>
      <c r="B48" s="3" t="s">
        <v>24</v>
      </c>
      <c r="C48" s="3" t="s">
        <v>58</v>
      </c>
      <c r="D48" s="3" t="s">
        <v>70</v>
      </c>
      <c r="E48" s="3" t="s">
        <v>84</v>
      </c>
      <c r="F48" s="3" t="s">
        <v>51</v>
      </c>
      <c r="G48" s="3" t="s">
        <v>110</v>
      </c>
      <c r="H48" s="21" t="s">
        <v>52</v>
      </c>
      <c r="I48" s="3" t="s">
        <v>53</v>
      </c>
      <c r="J48" s="3" t="s">
        <v>100</v>
      </c>
      <c r="K48" s="24" t="s">
        <v>280</v>
      </c>
      <c r="L48" s="24">
        <v>5</v>
      </c>
      <c r="M48" s="24">
        <v>30</v>
      </c>
      <c r="N48" s="24" t="s">
        <v>87</v>
      </c>
      <c r="O48" s="24">
        <v>5</v>
      </c>
      <c r="P48" s="24" t="s">
        <v>105</v>
      </c>
      <c r="Q48" s="3" t="s">
        <v>57</v>
      </c>
      <c r="R48" s="3" t="s">
        <v>57</v>
      </c>
      <c r="S48" s="3" t="s">
        <v>57</v>
      </c>
      <c r="T48" s="3" t="s">
        <v>57</v>
      </c>
      <c r="U48" s="3" t="s">
        <v>57</v>
      </c>
      <c r="V48" s="3" t="s">
        <v>113</v>
      </c>
    </row>
    <row r="49" spans="1:22" ht="24">
      <c r="A49" s="2">
        <v>46274</v>
      </c>
      <c r="B49" s="3" t="s">
        <v>24</v>
      </c>
      <c r="C49" s="3" t="s">
        <v>58</v>
      </c>
      <c r="D49" s="3" t="s">
        <v>70</v>
      </c>
      <c r="E49" s="3" t="s">
        <v>50</v>
      </c>
      <c r="F49" s="3" t="s">
        <v>59</v>
      </c>
      <c r="G49" s="3" t="s">
        <v>107</v>
      </c>
      <c r="H49" s="21" t="s">
        <v>52</v>
      </c>
      <c r="I49" s="3" t="s">
        <v>53</v>
      </c>
      <c r="J49" s="3" t="s">
        <v>54</v>
      </c>
      <c r="K49" s="24" t="s">
        <v>281</v>
      </c>
      <c r="L49" s="24">
        <v>16</v>
      </c>
      <c r="M49" s="24">
        <v>60</v>
      </c>
      <c r="N49" s="24" t="s">
        <v>87</v>
      </c>
      <c r="O49" s="24">
        <v>5</v>
      </c>
      <c r="P49" s="24" t="s">
        <v>105</v>
      </c>
      <c r="Q49" s="17" t="s">
        <v>282</v>
      </c>
      <c r="R49" s="3" t="s">
        <v>57</v>
      </c>
      <c r="S49" s="3" t="s">
        <v>57</v>
      </c>
      <c r="T49" s="3" t="s">
        <v>57</v>
      </c>
      <c r="U49" s="3" t="s">
        <v>57</v>
      </c>
      <c r="V49" s="3"/>
    </row>
    <row r="50" spans="1:22" ht="36">
      <c r="A50" s="36">
        <v>46274</v>
      </c>
      <c r="B50" s="3" t="s">
        <v>21</v>
      </c>
      <c r="C50" s="3" t="s">
        <v>58</v>
      </c>
      <c r="D50" s="3" t="s">
        <v>70</v>
      </c>
      <c r="E50" s="3" t="s">
        <v>84</v>
      </c>
      <c r="F50" s="3" t="s">
        <v>127</v>
      </c>
      <c r="G50" s="3" t="s">
        <v>266</v>
      </c>
      <c r="H50" s="21" t="s">
        <v>53</v>
      </c>
      <c r="I50" s="3" t="s">
        <v>53</v>
      </c>
      <c r="J50" s="3" t="s">
        <v>100</v>
      </c>
      <c r="K50" s="24" t="s">
        <v>283</v>
      </c>
      <c r="L50" s="24">
        <v>60</v>
      </c>
      <c r="M50" s="24">
        <v>120</v>
      </c>
      <c r="N50" s="24" t="s">
        <v>87</v>
      </c>
      <c r="O50" s="24">
        <v>5</v>
      </c>
      <c r="P50" s="24" t="s">
        <v>64</v>
      </c>
      <c r="Q50" s="37" t="s">
        <v>284</v>
      </c>
      <c r="R50" s="35" t="s">
        <v>247</v>
      </c>
      <c r="S50" s="35" t="s">
        <v>57</v>
      </c>
      <c r="T50" s="35" t="s">
        <v>57</v>
      </c>
      <c r="U50" s="3" t="s">
        <v>57</v>
      </c>
      <c r="V50" s="35" t="s">
        <v>113</v>
      </c>
    </row>
    <row r="51" spans="1:22" ht="24">
      <c r="A51" s="2">
        <v>46274</v>
      </c>
      <c r="B51" s="3" t="s">
        <v>24</v>
      </c>
      <c r="C51" s="3" t="s">
        <v>58</v>
      </c>
      <c r="D51" s="3" t="s">
        <v>70</v>
      </c>
      <c r="E51" s="3" t="s">
        <v>84</v>
      </c>
      <c r="F51" s="3" t="s">
        <v>51</v>
      </c>
      <c r="G51" s="3" t="s">
        <v>110</v>
      </c>
      <c r="H51" s="21" t="s">
        <v>52</v>
      </c>
      <c r="I51" s="3" t="s">
        <v>53</v>
      </c>
      <c r="J51" s="3" t="s">
        <v>100</v>
      </c>
      <c r="K51" s="24" t="s">
        <v>285</v>
      </c>
      <c r="L51" s="24">
        <v>15</v>
      </c>
      <c r="M51" s="24">
        <v>30</v>
      </c>
      <c r="N51" s="24" t="s">
        <v>87</v>
      </c>
      <c r="O51" s="24">
        <v>5</v>
      </c>
      <c r="P51" s="24" t="s">
        <v>105</v>
      </c>
      <c r="Q51" s="17" t="s">
        <v>286</v>
      </c>
      <c r="R51" s="3" t="s">
        <v>57</v>
      </c>
      <c r="S51" s="3" t="s">
        <v>57</v>
      </c>
      <c r="T51" s="3" t="s">
        <v>57</v>
      </c>
      <c r="U51" s="3" t="s">
        <v>57</v>
      </c>
      <c r="V51" s="3" t="s">
        <v>113</v>
      </c>
    </row>
    <row r="52" spans="1:22">
      <c r="A52" s="2">
        <v>46274</v>
      </c>
      <c r="B52" s="3" t="s">
        <v>24</v>
      </c>
      <c r="C52" s="3" t="s">
        <v>58</v>
      </c>
      <c r="D52" s="3" t="s">
        <v>70</v>
      </c>
      <c r="E52" s="3" t="s">
        <v>50</v>
      </c>
      <c r="F52" s="3" t="s">
        <v>59</v>
      </c>
      <c r="G52" s="3" t="s">
        <v>107</v>
      </c>
      <c r="H52" s="21" t="s">
        <v>52</v>
      </c>
      <c r="I52" s="3" t="s">
        <v>53</v>
      </c>
      <c r="J52" s="3" t="s">
        <v>54</v>
      </c>
      <c r="K52" s="24" t="s">
        <v>287</v>
      </c>
      <c r="L52" s="24">
        <v>20</v>
      </c>
      <c r="M52" s="24">
        <v>60</v>
      </c>
      <c r="N52" s="24" t="s">
        <v>87</v>
      </c>
      <c r="O52" s="24">
        <v>5</v>
      </c>
      <c r="P52" s="24" t="s">
        <v>105</v>
      </c>
      <c r="Q52" s="17" t="s">
        <v>288</v>
      </c>
      <c r="R52" s="3" t="s">
        <v>57</v>
      </c>
      <c r="S52" s="3" t="s">
        <v>57</v>
      </c>
      <c r="T52" s="3" t="s">
        <v>57</v>
      </c>
      <c r="U52" s="3" t="s">
        <v>57</v>
      </c>
      <c r="V52" s="3" t="s">
        <v>54</v>
      </c>
    </row>
    <row r="53" spans="1:22" ht="84">
      <c r="A53" s="2">
        <v>46274</v>
      </c>
      <c r="B53" s="3" t="s">
        <v>21</v>
      </c>
      <c r="C53" s="3" t="s">
        <v>58</v>
      </c>
      <c r="D53" s="3" t="s">
        <v>70</v>
      </c>
      <c r="E53" s="3" t="s">
        <v>50</v>
      </c>
      <c r="F53" s="3" t="s">
        <v>127</v>
      </c>
      <c r="G53" s="3" t="s">
        <v>77</v>
      </c>
      <c r="H53" s="21" t="s">
        <v>53</v>
      </c>
      <c r="I53" s="3" t="s">
        <v>53</v>
      </c>
      <c r="J53" s="3" t="s">
        <v>54</v>
      </c>
      <c r="K53" s="24" t="s">
        <v>249</v>
      </c>
      <c r="L53" s="24">
        <v>60</v>
      </c>
      <c r="M53" s="24">
        <v>0</v>
      </c>
      <c r="N53" s="24" t="s">
        <v>228</v>
      </c>
      <c r="O53" s="24">
        <v>3</v>
      </c>
      <c r="P53" s="24" t="s">
        <v>64</v>
      </c>
      <c r="Q53" s="17" t="s">
        <v>284</v>
      </c>
      <c r="R53" s="3" t="s">
        <v>289</v>
      </c>
      <c r="S53" s="3" t="s">
        <v>290</v>
      </c>
      <c r="T53" s="3" t="s">
        <v>68</v>
      </c>
      <c r="U53" s="3" t="s">
        <v>291</v>
      </c>
      <c r="V53" s="3" t="s">
        <v>54</v>
      </c>
    </row>
    <row r="54" spans="1:22" ht="36">
      <c r="A54" s="2">
        <v>46275</v>
      </c>
      <c r="B54" s="3" t="s">
        <v>23</v>
      </c>
      <c r="C54" s="3" t="s">
        <v>48</v>
      </c>
      <c r="D54" s="3" t="s">
        <v>292</v>
      </c>
      <c r="E54" s="3" t="s">
        <v>293</v>
      </c>
      <c r="F54" s="3" t="s">
        <v>133</v>
      </c>
      <c r="G54" s="3" t="s">
        <v>99</v>
      </c>
      <c r="H54" s="21" t="s">
        <v>61</v>
      </c>
      <c r="I54" s="3" t="s">
        <v>294</v>
      </c>
      <c r="J54" s="3" t="s">
        <v>226</v>
      </c>
      <c r="K54" s="24" t="s">
        <v>295</v>
      </c>
      <c r="L54" s="24">
        <v>30</v>
      </c>
      <c r="M54" s="24">
        <v>480</v>
      </c>
      <c r="N54" s="24" t="s">
        <v>87</v>
      </c>
      <c r="O54" s="24">
        <v>3</v>
      </c>
      <c r="P54" s="24" t="s">
        <v>64</v>
      </c>
      <c r="Q54" s="17" t="s">
        <v>296</v>
      </c>
      <c r="R54" s="3" t="s">
        <v>297</v>
      </c>
      <c r="S54" s="3" t="s">
        <v>57</v>
      </c>
      <c r="T54" s="3" t="s">
        <v>57</v>
      </c>
      <c r="U54" s="3" t="s">
        <v>57</v>
      </c>
      <c r="V54" s="3" t="s">
        <v>298</v>
      </c>
    </row>
    <row r="55" spans="1:22" ht="24">
      <c r="A55" s="2">
        <v>46275</v>
      </c>
      <c r="B55" s="3" t="s">
        <v>24</v>
      </c>
      <c r="C55" s="3" t="s">
        <v>58</v>
      </c>
      <c r="D55" s="3" t="s">
        <v>70</v>
      </c>
      <c r="E55" s="3" t="s">
        <v>84</v>
      </c>
      <c r="F55" s="3" t="s">
        <v>51</v>
      </c>
      <c r="G55" s="3" t="s">
        <v>110</v>
      </c>
      <c r="H55" s="21" t="s">
        <v>61</v>
      </c>
      <c r="I55" s="3" t="s">
        <v>53</v>
      </c>
      <c r="J55" s="3" t="s">
        <v>100</v>
      </c>
      <c r="K55" s="24" t="s">
        <v>299</v>
      </c>
      <c r="L55" s="24">
        <v>40</v>
      </c>
      <c r="M55" s="24">
        <v>80</v>
      </c>
      <c r="N55" s="24" t="s">
        <v>87</v>
      </c>
      <c r="O55" s="24">
        <v>5</v>
      </c>
      <c r="P55" s="24" t="s">
        <v>105</v>
      </c>
      <c r="Q55" s="17" t="s">
        <v>300</v>
      </c>
      <c r="R55" s="3" t="s">
        <v>57</v>
      </c>
      <c r="S55" s="3" t="s">
        <v>57</v>
      </c>
      <c r="T55" s="3" t="s">
        <v>57</v>
      </c>
      <c r="U55" s="3" t="s">
        <v>57</v>
      </c>
      <c r="V55" s="3" t="s">
        <v>113</v>
      </c>
    </row>
    <row r="56" spans="1:22" ht="48">
      <c r="A56" s="2">
        <v>46275</v>
      </c>
      <c r="B56" s="3" t="s">
        <v>24</v>
      </c>
      <c r="C56" s="3" t="s">
        <v>58</v>
      </c>
      <c r="D56" s="3" t="s">
        <v>70</v>
      </c>
      <c r="E56" s="3" t="s">
        <v>50</v>
      </c>
      <c r="F56" s="3" t="s">
        <v>59</v>
      </c>
      <c r="G56" s="3" t="s">
        <v>107</v>
      </c>
      <c r="H56" s="21" t="s">
        <v>61</v>
      </c>
      <c r="I56" s="3" t="s">
        <v>53</v>
      </c>
      <c r="J56" s="3" t="s">
        <v>54</v>
      </c>
      <c r="K56" s="24" t="s">
        <v>301</v>
      </c>
      <c r="L56" s="24">
        <v>30</v>
      </c>
      <c r="M56" s="24">
        <v>240</v>
      </c>
      <c r="N56" s="24" t="s">
        <v>63</v>
      </c>
      <c r="O56" s="24">
        <v>4</v>
      </c>
      <c r="P56" s="24" t="s">
        <v>64</v>
      </c>
      <c r="Q56" s="17" t="s">
        <v>302</v>
      </c>
      <c r="R56" s="3" t="s">
        <v>303</v>
      </c>
      <c r="S56" s="3" t="s">
        <v>304</v>
      </c>
      <c r="T56" s="3" t="s">
        <v>57</v>
      </c>
      <c r="U56" s="3" t="s">
        <v>305</v>
      </c>
      <c r="V56" s="3" t="s">
        <v>54</v>
      </c>
    </row>
    <row r="57" spans="1:22" ht="24">
      <c r="A57" s="2">
        <v>46276</v>
      </c>
      <c r="B57" s="3" t="s">
        <v>24</v>
      </c>
      <c r="C57" s="3" t="s">
        <v>58</v>
      </c>
      <c r="D57" s="3" t="s">
        <v>70</v>
      </c>
      <c r="E57" s="3" t="s">
        <v>84</v>
      </c>
      <c r="F57" s="3" t="s">
        <v>51</v>
      </c>
      <c r="G57" s="3" t="s">
        <v>110</v>
      </c>
      <c r="H57" s="21" t="s">
        <v>61</v>
      </c>
      <c r="I57" s="3" t="s">
        <v>53</v>
      </c>
      <c r="J57" s="3" t="s">
        <v>100</v>
      </c>
      <c r="K57" s="24" t="s">
        <v>306</v>
      </c>
      <c r="L57" s="24">
        <v>40</v>
      </c>
      <c r="M57" s="24">
        <v>80</v>
      </c>
      <c r="N57" s="24" t="s">
        <v>87</v>
      </c>
      <c r="O57" s="24">
        <v>5</v>
      </c>
      <c r="P57" s="24" t="s">
        <v>105</v>
      </c>
      <c r="Q57" s="17" t="s">
        <v>307</v>
      </c>
      <c r="R57" s="3" t="s">
        <v>57</v>
      </c>
      <c r="S57" s="3" t="s">
        <v>57</v>
      </c>
      <c r="T57" s="3" t="s">
        <v>57</v>
      </c>
      <c r="U57" s="3" t="s">
        <v>57</v>
      </c>
      <c r="V57" s="3" t="s">
        <v>113</v>
      </c>
    </row>
    <row r="58" spans="1:22" ht="36">
      <c r="A58" s="2">
        <v>46276</v>
      </c>
      <c r="B58" s="3" t="s">
        <v>24</v>
      </c>
      <c r="C58" s="3" t="s">
        <v>58</v>
      </c>
      <c r="D58" s="3" t="s">
        <v>70</v>
      </c>
      <c r="E58" s="3" t="s">
        <v>50</v>
      </c>
      <c r="F58" s="3" t="s">
        <v>59</v>
      </c>
      <c r="G58" s="3" t="s">
        <v>107</v>
      </c>
      <c r="H58" s="21" t="s">
        <v>61</v>
      </c>
      <c r="I58" s="3" t="s">
        <v>53</v>
      </c>
      <c r="J58" s="3" t="s">
        <v>54</v>
      </c>
      <c r="K58" s="24" t="s">
        <v>308</v>
      </c>
      <c r="L58" s="24">
        <v>120</v>
      </c>
      <c r="M58" s="24">
        <v>240</v>
      </c>
      <c r="N58" s="24" t="s">
        <v>63</v>
      </c>
      <c r="O58" s="24">
        <v>4</v>
      </c>
      <c r="P58" s="24" t="s">
        <v>64</v>
      </c>
      <c r="Q58" s="17" t="s">
        <v>309</v>
      </c>
      <c r="R58" s="3" t="s">
        <v>310</v>
      </c>
      <c r="S58" s="3" t="s">
        <v>311</v>
      </c>
      <c r="T58" s="3" t="s">
        <v>68</v>
      </c>
      <c r="U58" s="3" t="s">
        <v>312</v>
      </c>
      <c r="V58" s="3" t="s">
        <v>54</v>
      </c>
    </row>
    <row r="59" spans="1:22" ht="48">
      <c r="A59" s="2">
        <v>46279</v>
      </c>
      <c r="B59" s="3" t="s">
        <v>21</v>
      </c>
      <c r="C59" s="3" t="s">
        <v>58</v>
      </c>
      <c r="D59" s="3" t="s">
        <v>70</v>
      </c>
      <c r="E59" s="3" t="s">
        <v>84</v>
      </c>
      <c r="F59" s="3" t="s">
        <v>127</v>
      </c>
      <c r="G59" s="3" t="s">
        <v>266</v>
      </c>
      <c r="H59" s="21" t="s">
        <v>61</v>
      </c>
      <c r="I59" s="3" t="s">
        <v>62</v>
      </c>
      <c r="J59" s="3" t="s">
        <v>100</v>
      </c>
      <c r="K59" s="24" t="s">
        <v>117</v>
      </c>
      <c r="L59" s="24">
        <v>120</v>
      </c>
      <c r="M59" s="24">
        <v>240</v>
      </c>
      <c r="N59" s="24" t="s">
        <v>87</v>
      </c>
      <c r="O59" s="24">
        <v>5</v>
      </c>
      <c r="P59" s="24" t="s">
        <v>64</v>
      </c>
      <c r="Q59" s="17" t="s">
        <v>313</v>
      </c>
      <c r="R59" s="3" t="s">
        <v>57</v>
      </c>
      <c r="S59" s="3" t="s">
        <v>57</v>
      </c>
      <c r="T59" s="3" t="s">
        <v>57</v>
      </c>
      <c r="U59" s="3" t="s">
        <v>57</v>
      </c>
      <c r="V59" s="3" t="s">
        <v>113</v>
      </c>
    </row>
    <row r="60" spans="1:22" ht="24">
      <c r="A60" s="2">
        <v>46279</v>
      </c>
      <c r="B60" s="3" t="s">
        <v>24</v>
      </c>
      <c r="C60" s="3" t="s">
        <v>58</v>
      </c>
      <c r="D60" s="3" t="s">
        <v>70</v>
      </c>
      <c r="E60" s="3" t="s">
        <v>84</v>
      </c>
      <c r="F60" s="3" t="s">
        <v>51</v>
      </c>
      <c r="G60" s="3" t="s">
        <v>110</v>
      </c>
      <c r="H60" s="21" t="s">
        <v>61</v>
      </c>
      <c r="I60" s="3" t="s">
        <v>62</v>
      </c>
      <c r="J60" s="3" t="s">
        <v>100</v>
      </c>
      <c r="K60" s="24" t="s">
        <v>314</v>
      </c>
      <c r="L60" s="24">
        <v>60</v>
      </c>
      <c r="M60" s="24">
        <v>120</v>
      </c>
      <c r="N60" s="24" t="s">
        <v>87</v>
      </c>
      <c r="O60" s="24">
        <v>5</v>
      </c>
      <c r="P60" s="24" t="s">
        <v>105</v>
      </c>
      <c r="Q60" s="17" t="s">
        <v>315</v>
      </c>
      <c r="R60" s="3" t="s">
        <v>57</v>
      </c>
      <c r="S60" s="3" t="s">
        <v>57</v>
      </c>
      <c r="T60" s="3" t="s">
        <v>57</v>
      </c>
      <c r="U60" s="3" t="s">
        <v>57</v>
      </c>
      <c r="V60" s="3" t="s">
        <v>113</v>
      </c>
    </row>
    <row r="61" spans="1:22" ht="167.25">
      <c r="A61" s="33">
        <v>46279</v>
      </c>
      <c r="B61" s="3" t="s">
        <v>25</v>
      </c>
      <c r="C61" s="3" t="s">
        <v>48</v>
      </c>
      <c r="D61" s="3" t="s">
        <v>49</v>
      </c>
      <c r="E61" s="3" t="s">
        <v>84</v>
      </c>
      <c r="F61" s="3" t="s">
        <v>127</v>
      </c>
      <c r="G61" s="3" t="s">
        <v>316</v>
      </c>
      <c r="H61" s="21" t="s">
        <v>61</v>
      </c>
      <c r="I61" s="3" t="s">
        <v>62</v>
      </c>
      <c r="J61" s="3" t="s">
        <v>75</v>
      </c>
      <c r="K61" s="24">
        <v>35000</v>
      </c>
      <c r="L61" s="24">
        <v>30</v>
      </c>
      <c r="M61" s="24">
        <v>150</v>
      </c>
      <c r="N61" s="24" t="s">
        <v>87</v>
      </c>
      <c r="O61" s="24">
        <v>4</v>
      </c>
      <c r="P61" s="24" t="s">
        <v>64</v>
      </c>
      <c r="Q61" s="34" t="s">
        <v>317</v>
      </c>
      <c r="R61" s="34" t="s">
        <v>318</v>
      </c>
      <c r="S61" s="34" t="s">
        <v>319</v>
      </c>
      <c r="T61" s="34" t="s">
        <v>320</v>
      </c>
      <c r="U61" s="3"/>
      <c r="V61" s="34" t="s">
        <v>321</v>
      </c>
    </row>
    <row r="62" spans="1:22" ht="38.25">
      <c r="A62" s="2">
        <v>46143</v>
      </c>
      <c r="B62" s="3" t="s">
        <v>25</v>
      </c>
      <c r="C62" s="3" t="s">
        <v>48</v>
      </c>
      <c r="D62" s="3" t="s">
        <v>49</v>
      </c>
      <c r="E62" s="3" t="s">
        <v>126</v>
      </c>
      <c r="F62" s="3" t="s">
        <v>98</v>
      </c>
      <c r="G62" s="3"/>
      <c r="H62" s="21" t="s">
        <v>52</v>
      </c>
      <c r="I62" s="3" t="s">
        <v>53</v>
      </c>
      <c r="J62" s="3" t="s">
        <v>100</v>
      </c>
      <c r="K62" s="24"/>
      <c r="L62" s="24"/>
      <c r="M62" s="24"/>
      <c r="N62" s="24"/>
      <c r="O62" s="24"/>
      <c r="P62" s="24"/>
      <c r="Q62" s="17" t="s">
        <v>322</v>
      </c>
      <c r="R62" s="3" t="s">
        <v>57</v>
      </c>
      <c r="S62" s="3" t="s">
        <v>57</v>
      </c>
      <c r="T62" s="3" t="s">
        <v>57</v>
      </c>
      <c r="U62" s="3" t="s">
        <v>57</v>
      </c>
      <c r="V62" s="3" t="s">
        <v>113</v>
      </c>
    </row>
    <row r="63" spans="1:22" ht="38.25">
      <c r="A63" s="2">
        <v>46204</v>
      </c>
      <c r="B63" s="3" t="s">
        <v>25</v>
      </c>
      <c r="C63" s="3" t="s">
        <v>48</v>
      </c>
      <c r="D63" s="3" t="s">
        <v>49</v>
      </c>
      <c r="E63" s="3" t="s">
        <v>126</v>
      </c>
      <c r="F63" s="3" t="s">
        <v>98</v>
      </c>
      <c r="G63" s="3"/>
      <c r="H63" s="21" t="s">
        <v>52</v>
      </c>
      <c r="I63" s="3" t="s">
        <v>53</v>
      </c>
      <c r="J63" s="3" t="s">
        <v>100</v>
      </c>
      <c r="K63" s="24"/>
      <c r="L63" s="24"/>
      <c r="M63" s="24"/>
      <c r="N63" s="24"/>
      <c r="O63" s="24"/>
      <c r="P63" s="24"/>
      <c r="Q63" s="17" t="s">
        <v>323</v>
      </c>
      <c r="R63" s="3" t="s">
        <v>57</v>
      </c>
      <c r="S63" s="3" t="s">
        <v>57</v>
      </c>
      <c r="T63" s="3" t="s">
        <v>57</v>
      </c>
      <c r="U63" s="3" t="s">
        <v>57</v>
      </c>
      <c r="V63" s="3" t="s">
        <v>113</v>
      </c>
    </row>
    <row r="64" spans="1:22" ht="24">
      <c r="A64" s="2">
        <v>46286</v>
      </c>
      <c r="B64" s="3" t="s">
        <v>24</v>
      </c>
      <c r="C64" s="3" t="s">
        <v>58</v>
      </c>
      <c r="D64" s="3" t="s">
        <v>70</v>
      </c>
      <c r="E64" s="3" t="s">
        <v>84</v>
      </c>
      <c r="F64" s="3" t="s">
        <v>51</v>
      </c>
      <c r="G64" s="3" t="s">
        <v>110</v>
      </c>
      <c r="H64" s="21" t="s">
        <v>61</v>
      </c>
      <c r="I64" s="3" t="s">
        <v>53</v>
      </c>
      <c r="J64" s="3" t="s">
        <v>100</v>
      </c>
      <c r="K64" s="24" t="s">
        <v>324</v>
      </c>
      <c r="L64" s="24">
        <v>10</v>
      </c>
      <c r="M64" s="24">
        <v>20</v>
      </c>
      <c r="N64" s="24" t="s">
        <v>87</v>
      </c>
      <c r="O64" s="24">
        <v>5</v>
      </c>
      <c r="P64" s="24" t="s">
        <v>105</v>
      </c>
      <c r="Q64" s="17" t="s">
        <v>325</v>
      </c>
      <c r="R64" s="3" t="s">
        <v>57</v>
      </c>
      <c r="S64" s="3" t="s">
        <v>57</v>
      </c>
      <c r="T64" s="3" t="s">
        <v>57</v>
      </c>
      <c r="U64" s="3" t="s">
        <v>57</v>
      </c>
      <c r="V64" s="3" t="s">
        <v>113</v>
      </c>
    </row>
    <row r="65" spans="1:22" ht="24">
      <c r="A65" s="2">
        <v>46286</v>
      </c>
      <c r="B65" s="3" t="s">
        <v>24</v>
      </c>
      <c r="C65" s="3" t="s">
        <v>58</v>
      </c>
      <c r="D65" s="3" t="s">
        <v>70</v>
      </c>
      <c r="E65" s="3" t="s">
        <v>50</v>
      </c>
      <c r="F65" s="3" t="s">
        <v>59</v>
      </c>
      <c r="G65" s="3" t="s">
        <v>107</v>
      </c>
      <c r="H65" s="21" t="s">
        <v>61</v>
      </c>
      <c r="I65" s="3" t="s">
        <v>53</v>
      </c>
      <c r="J65" s="3" t="s">
        <v>121</v>
      </c>
      <c r="K65" s="24" t="s">
        <v>287</v>
      </c>
      <c r="L65" s="24">
        <v>15</v>
      </c>
      <c r="M65" s="24">
        <v>60</v>
      </c>
      <c r="N65" s="24" t="s">
        <v>87</v>
      </c>
      <c r="O65" s="24">
        <v>5</v>
      </c>
      <c r="P65" s="24" t="s">
        <v>105</v>
      </c>
      <c r="Q65" s="17" t="s">
        <v>326</v>
      </c>
      <c r="R65" s="3" t="s">
        <v>57</v>
      </c>
      <c r="S65" s="3" t="s">
        <v>57</v>
      </c>
      <c r="T65" s="3" t="s">
        <v>57</v>
      </c>
      <c r="U65" s="3" t="s">
        <v>57</v>
      </c>
      <c r="V65" s="3" t="s">
        <v>54</v>
      </c>
    </row>
    <row r="66" spans="1:22" ht="24">
      <c r="A66" s="2">
        <v>46286</v>
      </c>
      <c r="B66" s="3" t="s">
        <v>24</v>
      </c>
      <c r="C66" s="3" t="s">
        <v>58</v>
      </c>
      <c r="D66" s="3" t="s">
        <v>70</v>
      </c>
      <c r="E66" s="3" t="s">
        <v>84</v>
      </c>
      <c r="F66" s="3" t="s">
        <v>51</v>
      </c>
      <c r="G66" s="3" t="s">
        <v>110</v>
      </c>
      <c r="H66" s="21" t="s">
        <v>61</v>
      </c>
      <c r="I66" s="3" t="s">
        <v>53</v>
      </c>
      <c r="J66" s="3" t="s">
        <v>100</v>
      </c>
      <c r="K66" s="24" t="s">
        <v>327</v>
      </c>
      <c r="L66" s="24">
        <v>15</v>
      </c>
      <c r="M66" s="24">
        <v>80</v>
      </c>
      <c r="N66" s="24" t="s">
        <v>87</v>
      </c>
      <c r="O66" s="24">
        <v>5</v>
      </c>
      <c r="P66" s="24" t="s">
        <v>105</v>
      </c>
      <c r="Q66" s="17" t="s">
        <v>328</v>
      </c>
      <c r="R66" s="3" t="s">
        <v>57</v>
      </c>
      <c r="S66" s="3" t="s">
        <v>57</v>
      </c>
      <c r="T66" s="3" t="s">
        <v>57</v>
      </c>
      <c r="U66" s="3" t="s">
        <v>57</v>
      </c>
      <c r="V66" s="3" t="s">
        <v>113</v>
      </c>
    </row>
    <row r="67" spans="1:22" ht="36">
      <c r="A67" s="2">
        <v>46286</v>
      </c>
      <c r="B67" s="3" t="s">
        <v>24</v>
      </c>
      <c r="C67" s="3" t="s">
        <v>58</v>
      </c>
      <c r="D67" s="3" t="s">
        <v>70</v>
      </c>
      <c r="E67" s="3" t="s">
        <v>50</v>
      </c>
      <c r="F67" s="3" t="s">
        <v>59</v>
      </c>
      <c r="G67" s="3" t="s">
        <v>107</v>
      </c>
      <c r="H67" s="21" t="s">
        <v>61</v>
      </c>
      <c r="I67" s="3" t="s">
        <v>53</v>
      </c>
      <c r="J67" s="3" t="s">
        <v>121</v>
      </c>
      <c r="K67" s="24" t="s">
        <v>329</v>
      </c>
      <c r="L67" s="24">
        <v>25</v>
      </c>
      <c r="M67" s="24">
        <v>60</v>
      </c>
      <c r="N67" s="24" t="s">
        <v>87</v>
      </c>
      <c r="O67" s="24">
        <v>5</v>
      </c>
      <c r="P67" s="24" t="s">
        <v>105</v>
      </c>
      <c r="Q67" s="17" t="s">
        <v>330</v>
      </c>
      <c r="R67" s="3" t="s">
        <v>57</v>
      </c>
      <c r="S67" s="3" t="s">
        <v>57</v>
      </c>
      <c r="T67" s="3" t="s">
        <v>57</v>
      </c>
      <c r="U67" s="3" t="s">
        <v>57</v>
      </c>
      <c r="V67" s="3" t="s">
        <v>54</v>
      </c>
    </row>
    <row r="68" spans="1:22" ht="24">
      <c r="A68" s="2">
        <v>46287</v>
      </c>
      <c r="B68" s="3" t="s">
        <v>24</v>
      </c>
      <c r="C68" s="3" t="s">
        <v>58</v>
      </c>
      <c r="D68" s="3" t="s">
        <v>70</v>
      </c>
      <c r="E68" s="3" t="s">
        <v>84</v>
      </c>
      <c r="F68" s="3" t="s">
        <v>51</v>
      </c>
      <c r="G68" s="3" t="s">
        <v>110</v>
      </c>
      <c r="H68" s="21" t="s">
        <v>61</v>
      </c>
      <c r="I68" s="3" t="s">
        <v>53</v>
      </c>
      <c r="J68" s="3" t="s">
        <v>100</v>
      </c>
      <c r="K68" s="24" t="s">
        <v>331</v>
      </c>
      <c r="L68" s="24">
        <v>15</v>
      </c>
      <c r="M68" s="24">
        <v>40</v>
      </c>
      <c r="N68" s="24" t="s">
        <v>87</v>
      </c>
      <c r="O68" s="24">
        <v>5</v>
      </c>
      <c r="P68" s="24" t="s">
        <v>105</v>
      </c>
      <c r="Q68" s="17" t="s">
        <v>332</v>
      </c>
      <c r="R68" s="3" t="s">
        <v>57</v>
      </c>
      <c r="S68" s="3" t="s">
        <v>57</v>
      </c>
      <c r="T68" s="3" t="s">
        <v>57</v>
      </c>
      <c r="U68" s="3" t="s">
        <v>57</v>
      </c>
      <c r="V68" s="3" t="s">
        <v>113</v>
      </c>
    </row>
    <row r="69" spans="1:22" ht="36">
      <c r="A69" s="2">
        <v>46287</v>
      </c>
      <c r="B69" s="3" t="s">
        <v>24</v>
      </c>
      <c r="C69" s="3" t="s">
        <v>58</v>
      </c>
      <c r="D69" s="3" t="s">
        <v>70</v>
      </c>
      <c r="E69" s="3" t="s">
        <v>50</v>
      </c>
      <c r="F69" s="3" t="s">
        <v>59</v>
      </c>
      <c r="G69" s="3" t="s">
        <v>107</v>
      </c>
      <c r="H69" s="21" t="s">
        <v>61</v>
      </c>
      <c r="I69" s="3" t="s">
        <v>53</v>
      </c>
      <c r="J69" s="3" t="s">
        <v>54</v>
      </c>
      <c r="K69" s="24" t="s">
        <v>333</v>
      </c>
      <c r="L69" s="24">
        <v>40</v>
      </c>
      <c r="M69" s="24">
        <v>80</v>
      </c>
      <c r="N69" s="24" t="s">
        <v>87</v>
      </c>
      <c r="O69" s="24">
        <v>5</v>
      </c>
      <c r="P69" s="24" t="s">
        <v>105</v>
      </c>
      <c r="Q69" s="17" t="s">
        <v>334</v>
      </c>
      <c r="R69" s="3" t="s">
        <v>57</v>
      </c>
      <c r="S69" s="3" t="s">
        <v>57</v>
      </c>
      <c r="T69" s="3" t="s">
        <v>57</v>
      </c>
      <c r="U69" s="3" t="s">
        <v>57</v>
      </c>
      <c r="V69" s="3" t="s">
        <v>54</v>
      </c>
    </row>
    <row r="70" spans="1:22">
      <c r="A70" s="2">
        <v>46287</v>
      </c>
      <c r="B70" s="3" t="s">
        <v>97</v>
      </c>
      <c r="C70" s="3" t="s">
        <v>58</v>
      </c>
      <c r="D70" s="3" t="s">
        <v>70</v>
      </c>
      <c r="E70" s="3" t="s">
        <v>50</v>
      </c>
      <c r="F70" s="3" t="s">
        <v>133</v>
      </c>
      <c r="G70" s="3" t="s">
        <v>110</v>
      </c>
      <c r="H70" s="21" t="s">
        <v>52</v>
      </c>
      <c r="I70" s="3" t="s">
        <v>53</v>
      </c>
      <c r="J70" s="3" t="s">
        <v>54</v>
      </c>
      <c r="K70" s="24" t="s">
        <v>335</v>
      </c>
      <c r="L70" s="24">
        <v>80</v>
      </c>
      <c r="M70" s="24">
        <v>240</v>
      </c>
      <c r="N70" s="24" t="s">
        <v>87</v>
      </c>
      <c r="O70" s="24">
        <v>5</v>
      </c>
      <c r="P70" s="24" t="s">
        <v>64</v>
      </c>
      <c r="Q70" s="17" t="s">
        <v>336</v>
      </c>
      <c r="R70" s="3" t="s">
        <v>57</v>
      </c>
      <c r="S70" s="3" t="s">
        <v>57</v>
      </c>
      <c r="T70" s="3" t="s">
        <v>57</v>
      </c>
      <c r="U70" s="3" t="s">
        <v>57</v>
      </c>
      <c r="V70" s="3" t="s">
        <v>54</v>
      </c>
    </row>
    <row r="71" spans="1:22" ht="36">
      <c r="A71" s="2">
        <v>46288</v>
      </c>
      <c r="B71" s="3" t="s">
        <v>24</v>
      </c>
      <c r="C71" s="3" t="s">
        <v>58</v>
      </c>
      <c r="D71" s="3" t="s">
        <v>70</v>
      </c>
      <c r="E71" s="3" t="s">
        <v>126</v>
      </c>
      <c r="F71" s="3" t="s">
        <v>51</v>
      </c>
      <c r="G71" s="3" t="s">
        <v>110</v>
      </c>
      <c r="H71" s="21" t="s">
        <v>61</v>
      </c>
      <c r="I71" s="3" t="s">
        <v>53</v>
      </c>
      <c r="J71" s="3" t="s">
        <v>78</v>
      </c>
      <c r="K71" s="24" t="s">
        <v>337</v>
      </c>
      <c r="L71" s="24">
        <v>5</v>
      </c>
      <c r="M71" s="24">
        <v>40</v>
      </c>
      <c r="N71" s="24" t="s">
        <v>87</v>
      </c>
      <c r="O71" s="24">
        <v>5</v>
      </c>
      <c r="P71" s="24" t="s">
        <v>105</v>
      </c>
      <c r="Q71" s="17" t="s">
        <v>338</v>
      </c>
      <c r="R71" s="3" t="s">
        <v>57</v>
      </c>
      <c r="S71" s="3" t="s">
        <v>339</v>
      </c>
      <c r="T71" s="3" t="s">
        <v>57</v>
      </c>
      <c r="U71" s="3" t="s">
        <v>57</v>
      </c>
      <c r="V71" s="3" t="s">
        <v>126</v>
      </c>
    </row>
    <row r="72" spans="1:22">
      <c r="A72" s="2">
        <v>46288</v>
      </c>
      <c r="B72" s="3" t="s">
        <v>97</v>
      </c>
      <c r="C72" s="3" t="s">
        <v>58</v>
      </c>
      <c r="D72" s="3" t="s">
        <v>70</v>
      </c>
      <c r="E72" s="3" t="s">
        <v>50</v>
      </c>
      <c r="F72" s="3" t="s">
        <v>133</v>
      </c>
      <c r="G72" s="3" t="s">
        <v>110</v>
      </c>
      <c r="H72" s="21" t="s">
        <v>340</v>
      </c>
      <c r="I72" s="3" t="s">
        <v>53</v>
      </c>
      <c r="J72" s="3" t="s">
        <v>54</v>
      </c>
      <c r="K72" s="24" t="s">
        <v>341</v>
      </c>
      <c r="L72" s="24">
        <v>40</v>
      </c>
      <c r="M72" s="24">
        <v>140</v>
      </c>
      <c r="N72" s="24" t="s">
        <v>87</v>
      </c>
      <c r="O72" s="24">
        <v>5</v>
      </c>
      <c r="P72" s="24" t="s">
        <v>64</v>
      </c>
      <c r="Q72" s="17" t="s">
        <v>342</v>
      </c>
      <c r="R72" s="3" t="s">
        <v>57</v>
      </c>
      <c r="S72" s="3" t="s">
        <v>57</v>
      </c>
      <c r="T72" s="3" t="s">
        <v>57</v>
      </c>
      <c r="U72" s="3" t="s">
        <v>57</v>
      </c>
      <c r="V72" s="3" t="s">
        <v>54</v>
      </c>
    </row>
    <row r="73" spans="1:22" ht="24">
      <c r="A73" s="2">
        <v>46289</v>
      </c>
      <c r="B73" s="3" t="s">
        <v>24</v>
      </c>
      <c r="C73" s="3" t="s">
        <v>58</v>
      </c>
      <c r="D73" s="3" t="s">
        <v>70</v>
      </c>
      <c r="E73" s="3" t="s">
        <v>126</v>
      </c>
      <c r="F73" s="3" t="s">
        <v>51</v>
      </c>
      <c r="G73" s="3" t="s">
        <v>343</v>
      </c>
      <c r="H73" s="21" t="s">
        <v>61</v>
      </c>
      <c r="I73" s="3" t="s">
        <v>53</v>
      </c>
      <c r="J73" s="3" t="s">
        <v>78</v>
      </c>
      <c r="K73" s="24" t="s">
        <v>344</v>
      </c>
      <c r="L73" s="24">
        <v>3</v>
      </c>
      <c r="M73" s="24">
        <v>60</v>
      </c>
      <c r="N73" s="24" t="s">
        <v>87</v>
      </c>
      <c r="O73" s="24">
        <v>5</v>
      </c>
      <c r="P73" s="24" t="s">
        <v>105</v>
      </c>
      <c r="Q73" s="17" t="s">
        <v>345</v>
      </c>
      <c r="R73" s="3" t="s">
        <v>57</v>
      </c>
      <c r="S73" s="3" t="s">
        <v>57</v>
      </c>
      <c r="T73" s="3" t="s">
        <v>57</v>
      </c>
      <c r="U73" s="3" t="s">
        <v>57</v>
      </c>
      <c r="V73" s="3" t="s">
        <v>126</v>
      </c>
    </row>
    <row r="74" spans="1:22" ht="24">
      <c r="A74" s="2">
        <v>46289</v>
      </c>
      <c r="B74" s="3" t="s">
        <v>24</v>
      </c>
      <c r="C74" s="3" t="s">
        <v>58</v>
      </c>
      <c r="D74" s="3" t="s">
        <v>70</v>
      </c>
      <c r="E74" s="3" t="s">
        <v>126</v>
      </c>
      <c r="F74" s="3" t="s">
        <v>51</v>
      </c>
      <c r="G74" s="3" t="s">
        <v>343</v>
      </c>
      <c r="H74" s="21" t="s">
        <v>61</v>
      </c>
      <c r="I74" s="3" t="s">
        <v>53</v>
      </c>
      <c r="J74" s="3" t="s">
        <v>78</v>
      </c>
      <c r="K74" s="24" t="s">
        <v>346</v>
      </c>
      <c r="L74" s="24">
        <v>6</v>
      </c>
      <c r="M74" s="24">
        <v>120</v>
      </c>
      <c r="N74" s="24" t="s">
        <v>87</v>
      </c>
      <c r="O74" s="24">
        <v>5</v>
      </c>
      <c r="P74" s="24" t="s">
        <v>105</v>
      </c>
      <c r="Q74" s="17" t="s">
        <v>347</v>
      </c>
      <c r="R74" s="3" t="s">
        <v>57</v>
      </c>
      <c r="S74" s="3" t="s">
        <v>57</v>
      </c>
      <c r="T74" s="3" t="s">
        <v>57</v>
      </c>
      <c r="U74" s="3" t="s">
        <v>57</v>
      </c>
      <c r="V74" s="3" t="s">
        <v>126</v>
      </c>
    </row>
    <row r="75" spans="1:22">
      <c r="A75" s="2">
        <v>46289</v>
      </c>
      <c r="B75" s="3" t="s">
        <v>24</v>
      </c>
      <c r="C75" s="3" t="s">
        <v>58</v>
      </c>
      <c r="D75" s="3" t="s">
        <v>70</v>
      </c>
      <c r="E75" s="3" t="s">
        <v>126</v>
      </c>
      <c r="F75" s="3" t="s">
        <v>51</v>
      </c>
      <c r="G75" s="3" t="s">
        <v>343</v>
      </c>
      <c r="H75" s="21" t="s">
        <v>61</v>
      </c>
      <c r="I75" s="3" t="s">
        <v>53</v>
      </c>
      <c r="J75" s="3" t="s">
        <v>78</v>
      </c>
      <c r="K75" s="24" t="s">
        <v>348</v>
      </c>
      <c r="L75" s="24">
        <v>10</v>
      </c>
      <c r="M75" s="24">
        <v>120</v>
      </c>
      <c r="N75" s="24" t="s">
        <v>87</v>
      </c>
      <c r="O75" s="24">
        <v>5</v>
      </c>
      <c r="P75" s="24" t="s">
        <v>105</v>
      </c>
      <c r="Q75" s="17" t="s">
        <v>349</v>
      </c>
      <c r="R75" s="3" t="s">
        <v>57</v>
      </c>
      <c r="S75" s="3" t="s">
        <v>57</v>
      </c>
      <c r="T75" s="3" t="s">
        <v>57</v>
      </c>
      <c r="U75" s="3" t="s">
        <v>57</v>
      </c>
      <c r="V75" s="3" t="s">
        <v>126</v>
      </c>
    </row>
    <row r="76" spans="1:22" ht="24">
      <c r="A76" s="2">
        <v>46289</v>
      </c>
      <c r="B76" s="3" t="s">
        <v>24</v>
      </c>
      <c r="C76" s="3" t="s">
        <v>58</v>
      </c>
      <c r="D76" s="3" t="s">
        <v>70</v>
      </c>
      <c r="E76" s="3" t="s">
        <v>126</v>
      </c>
      <c r="F76" s="3" t="s">
        <v>51</v>
      </c>
      <c r="G76" s="3" t="s">
        <v>343</v>
      </c>
      <c r="H76" s="21" t="s">
        <v>61</v>
      </c>
      <c r="I76" s="3" t="s">
        <v>53</v>
      </c>
      <c r="J76" s="3" t="s">
        <v>78</v>
      </c>
      <c r="K76" s="24" t="s">
        <v>350</v>
      </c>
      <c r="L76" s="24">
        <v>10</v>
      </c>
      <c r="M76" s="24">
        <v>140</v>
      </c>
      <c r="N76" s="24" t="s">
        <v>87</v>
      </c>
      <c r="O76" s="24">
        <v>5</v>
      </c>
      <c r="P76" s="24" t="s">
        <v>105</v>
      </c>
      <c r="Q76" s="17" t="s">
        <v>351</v>
      </c>
      <c r="R76" s="3" t="s">
        <v>57</v>
      </c>
      <c r="S76" s="3" t="s">
        <v>57</v>
      </c>
      <c r="T76" s="3" t="s">
        <v>57</v>
      </c>
      <c r="U76" s="3" t="s">
        <v>57</v>
      </c>
      <c r="V76" s="3" t="s">
        <v>126</v>
      </c>
    </row>
    <row r="77" spans="1:22">
      <c r="A77" s="2">
        <v>46289</v>
      </c>
      <c r="B77" s="3" t="s">
        <v>24</v>
      </c>
      <c r="C77" s="3" t="s">
        <v>58</v>
      </c>
      <c r="D77" s="3" t="s">
        <v>70</v>
      </c>
      <c r="E77" s="3" t="s">
        <v>126</v>
      </c>
      <c r="F77" s="3" t="s">
        <v>51</v>
      </c>
      <c r="G77" s="3" t="s">
        <v>343</v>
      </c>
      <c r="H77" s="21" t="s">
        <v>61</v>
      </c>
      <c r="I77" s="3" t="s">
        <v>53</v>
      </c>
      <c r="J77" s="3" t="s">
        <v>78</v>
      </c>
      <c r="K77" s="24" t="s">
        <v>352</v>
      </c>
      <c r="L77" s="24">
        <v>3</v>
      </c>
      <c r="M77" s="24">
        <v>60</v>
      </c>
      <c r="N77" s="24" t="s">
        <v>87</v>
      </c>
      <c r="O77" s="24">
        <v>5</v>
      </c>
      <c r="P77" s="24" t="s">
        <v>105</v>
      </c>
      <c r="Q77" s="17" t="s">
        <v>353</v>
      </c>
      <c r="R77" s="3" t="s">
        <v>57</v>
      </c>
      <c r="S77" s="3" t="s">
        <v>57</v>
      </c>
      <c r="T77" s="3" t="s">
        <v>57</v>
      </c>
      <c r="U77" s="3" t="s">
        <v>57</v>
      </c>
      <c r="V77" s="3" t="s">
        <v>126</v>
      </c>
    </row>
    <row r="78" spans="1:22" ht="24">
      <c r="A78" s="2">
        <v>46293</v>
      </c>
      <c r="B78" s="3" t="s">
        <v>24</v>
      </c>
      <c r="C78" s="3" t="s">
        <v>58</v>
      </c>
      <c r="D78" s="3" t="s">
        <v>70</v>
      </c>
      <c r="E78" s="3" t="s">
        <v>126</v>
      </c>
      <c r="F78" s="3" t="s">
        <v>51</v>
      </c>
      <c r="G78" s="3" t="s">
        <v>343</v>
      </c>
      <c r="H78" s="21" t="s">
        <v>61</v>
      </c>
      <c r="I78" s="3" t="s">
        <v>53</v>
      </c>
      <c r="J78" s="3" t="s">
        <v>78</v>
      </c>
      <c r="K78" s="24" t="s">
        <v>354</v>
      </c>
      <c r="L78" s="24">
        <v>17</v>
      </c>
      <c r="M78" s="24">
        <v>60</v>
      </c>
      <c r="N78" s="24" t="s">
        <v>87</v>
      </c>
      <c r="O78" s="24">
        <v>4</v>
      </c>
      <c r="P78" s="24" t="s">
        <v>64</v>
      </c>
      <c r="Q78" s="17" t="s">
        <v>355</v>
      </c>
      <c r="R78" s="3" t="s">
        <v>356</v>
      </c>
      <c r="S78" s="3" t="s">
        <v>357</v>
      </c>
      <c r="T78" s="3" t="s">
        <v>68</v>
      </c>
      <c r="U78" s="3" t="s">
        <v>358</v>
      </c>
      <c r="V78" s="3" t="s">
        <v>126</v>
      </c>
    </row>
    <row r="79" spans="1:22">
      <c r="A79" s="2">
        <v>46293</v>
      </c>
      <c r="B79" s="3" t="s">
        <v>24</v>
      </c>
      <c r="C79" s="3" t="s">
        <v>58</v>
      </c>
      <c r="D79" s="3" t="s">
        <v>70</v>
      </c>
      <c r="E79" s="3" t="s">
        <v>126</v>
      </c>
      <c r="F79" s="3" t="s">
        <v>51</v>
      </c>
      <c r="G79" s="3" t="s">
        <v>343</v>
      </c>
      <c r="H79" s="21" t="s">
        <v>61</v>
      </c>
      <c r="I79" s="3" t="s">
        <v>53</v>
      </c>
      <c r="J79" s="3" t="s">
        <v>78</v>
      </c>
      <c r="K79" s="24" t="s">
        <v>359</v>
      </c>
      <c r="L79" s="24">
        <v>7</v>
      </c>
      <c r="M79" s="24">
        <v>60</v>
      </c>
      <c r="N79" s="24" t="s">
        <v>87</v>
      </c>
      <c r="O79" s="24">
        <v>5</v>
      </c>
      <c r="P79" s="24" t="s">
        <v>105</v>
      </c>
      <c r="Q79" s="17" t="s">
        <v>360</v>
      </c>
      <c r="R79" s="3" t="s">
        <v>57</v>
      </c>
      <c r="S79" s="3" t="s">
        <v>57</v>
      </c>
      <c r="T79" s="3" t="s">
        <v>57</v>
      </c>
      <c r="U79" s="3" t="s">
        <v>57</v>
      </c>
      <c r="V79" s="3" t="s">
        <v>126</v>
      </c>
    </row>
    <row r="80" spans="1:22">
      <c r="A80" s="2">
        <v>46293</v>
      </c>
      <c r="B80" s="3" t="s">
        <v>24</v>
      </c>
      <c r="C80" s="3" t="s">
        <v>58</v>
      </c>
      <c r="D80" s="3" t="s">
        <v>70</v>
      </c>
      <c r="E80" s="3" t="s">
        <v>126</v>
      </c>
      <c r="F80" s="3" t="s">
        <v>51</v>
      </c>
      <c r="G80" s="3" t="s">
        <v>343</v>
      </c>
      <c r="H80" s="21" t="s">
        <v>61</v>
      </c>
      <c r="I80" s="3" t="s">
        <v>53</v>
      </c>
      <c r="J80" s="3" t="s">
        <v>78</v>
      </c>
      <c r="K80" s="24" t="s">
        <v>361</v>
      </c>
      <c r="L80" s="24">
        <v>12</v>
      </c>
      <c r="M80" s="24">
        <v>60</v>
      </c>
      <c r="N80" s="24" t="s">
        <v>87</v>
      </c>
      <c r="O80" s="24">
        <v>5</v>
      </c>
      <c r="P80" s="24" t="s">
        <v>105</v>
      </c>
      <c r="Q80" s="17" t="s">
        <v>362</v>
      </c>
      <c r="R80" s="3" t="s">
        <v>57</v>
      </c>
      <c r="S80" s="3" t="s">
        <v>57</v>
      </c>
      <c r="T80" s="3" t="s">
        <v>57</v>
      </c>
      <c r="U80" s="3" t="s">
        <v>57</v>
      </c>
      <c r="V80" s="3" t="s">
        <v>126</v>
      </c>
    </row>
    <row r="81" spans="1:22">
      <c r="A81" s="2">
        <v>46293</v>
      </c>
      <c r="B81" s="3" t="s">
        <v>97</v>
      </c>
      <c r="C81" s="3" t="s">
        <v>58</v>
      </c>
      <c r="D81" s="3" t="s">
        <v>70</v>
      </c>
      <c r="E81" s="3" t="s">
        <v>50</v>
      </c>
      <c r="F81" s="3" t="s">
        <v>51</v>
      </c>
      <c r="G81" s="3" t="s">
        <v>363</v>
      </c>
      <c r="H81" s="21" t="s">
        <v>340</v>
      </c>
      <c r="I81" s="3" t="s">
        <v>53</v>
      </c>
      <c r="J81" s="3" t="s">
        <v>54</v>
      </c>
      <c r="K81" s="24" t="s">
        <v>364</v>
      </c>
      <c r="L81" s="24">
        <v>30</v>
      </c>
      <c r="M81" s="24">
        <v>100</v>
      </c>
      <c r="N81" s="24" t="s">
        <v>87</v>
      </c>
      <c r="O81" s="24">
        <v>5</v>
      </c>
      <c r="P81" s="24" t="s">
        <v>64</v>
      </c>
      <c r="Q81" s="17" t="s">
        <v>365</v>
      </c>
      <c r="R81" s="3" t="s">
        <v>57</v>
      </c>
      <c r="S81" s="3" t="s">
        <v>57</v>
      </c>
      <c r="T81" s="3" t="s">
        <v>57</v>
      </c>
      <c r="U81" s="3" t="s">
        <v>57</v>
      </c>
      <c r="V81" s="3" t="s">
        <v>54</v>
      </c>
    </row>
    <row r="82" spans="1:22">
      <c r="A82" s="2">
        <v>46294</v>
      </c>
      <c r="B82" s="3" t="s">
        <v>97</v>
      </c>
      <c r="C82" s="3" t="s">
        <v>58</v>
      </c>
      <c r="D82" s="3" t="s">
        <v>70</v>
      </c>
      <c r="E82" s="3" t="s">
        <v>50</v>
      </c>
      <c r="F82" s="3" t="s">
        <v>51</v>
      </c>
      <c r="G82" s="3" t="s">
        <v>363</v>
      </c>
      <c r="H82" s="21" t="s">
        <v>340</v>
      </c>
      <c r="I82" s="3" t="s">
        <v>53</v>
      </c>
      <c r="J82" s="3" t="s">
        <v>54</v>
      </c>
      <c r="K82" s="24" t="s">
        <v>366</v>
      </c>
      <c r="L82" s="24">
        <v>60</v>
      </c>
      <c r="M82" s="24">
        <v>120</v>
      </c>
      <c r="N82" s="24" t="s">
        <v>87</v>
      </c>
      <c r="O82" s="24">
        <v>5</v>
      </c>
      <c r="P82" s="24" t="s">
        <v>64</v>
      </c>
      <c r="Q82" s="17" t="s">
        <v>367</v>
      </c>
      <c r="R82" s="3" t="s">
        <v>57</v>
      </c>
      <c r="S82" s="3" t="s">
        <v>57</v>
      </c>
      <c r="T82" s="3" t="s">
        <v>57</v>
      </c>
      <c r="U82" s="3" t="s">
        <v>57</v>
      </c>
      <c r="V82" s="3" t="s">
        <v>54</v>
      </c>
    </row>
    <row r="83" spans="1:22">
      <c r="A83" s="2">
        <v>46294</v>
      </c>
      <c r="B83" s="3" t="s">
        <v>97</v>
      </c>
      <c r="C83" s="3" t="s">
        <v>58</v>
      </c>
      <c r="D83" s="3" t="s">
        <v>70</v>
      </c>
      <c r="E83" s="3" t="s">
        <v>50</v>
      </c>
      <c r="F83" s="3" t="s">
        <v>51</v>
      </c>
      <c r="G83" s="3" t="s">
        <v>363</v>
      </c>
      <c r="H83" s="21" t="s">
        <v>340</v>
      </c>
      <c r="I83" s="3" t="s">
        <v>53</v>
      </c>
      <c r="J83" s="3" t="s">
        <v>54</v>
      </c>
      <c r="K83" s="24" t="s">
        <v>366</v>
      </c>
      <c r="L83" s="24">
        <v>60</v>
      </c>
      <c r="M83" s="24">
        <v>150</v>
      </c>
      <c r="N83" s="24" t="s">
        <v>87</v>
      </c>
      <c r="O83" s="24">
        <v>5</v>
      </c>
      <c r="P83" s="24" t="s">
        <v>64</v>
      </c>
      <c r="Q83" s="17" t="s">
        <v>368</v>
      </c>
      <c r="R83" s="3" t="s">
        <v>57</v>
      </c>
      <c r="S83" s="3" t="s">
        <v>57</v>
      </c>
      <c r="T83" s="3" t="s">
        <v>57</v>
      </c>
      <c r="U83" s="3" t="s">
        <v>57</v>
      </c>
      <c r="V83" s="3" t="s">
        <v>54</v>
      </c>
    </row>
    <row r="84" spans="1:22">
      <c r="A84" s="2">
        <v>46294</v>
      </c>
      <c r="B84" s="3" t="s">
        <v>97</v>
      </c>
      <c r="C84" s="3" t="s">
        <v>58</v>
      </c>
      <c r="D84" s="3" t="s">
        <v>70</v>
      </c>
      <c r="E84" s="3" t="s">
        <v>50</v>
      </c>
      <c r="F84" s="3" t="s">
        <v>51</v>
      </c>
      <c r="G84" s="3" t="s">
        <v>363</v>
      </c>
      <c r="H84" s="21" t="s">
        <v>340</v>
      </c>
      <c r="I84" s="3" t="s">
        <v>53</v>
      </c>
      <c r="J84" s="3" t="s">
        <v>54</v>
      </c>
      <c r="K84" s="24" t="s">
        <v>281</v>
      </c>
      <c r="L84" s="24">
        <v>60</v>
      </c>
      <c r="M84" s="24">
        <v>110</v>
      </c>
      <c r="N84" s="24" t="s">
        <v>87</v>
      </c>
      <c r="O84" s="24">
        <v>5</v>
      </c>
      <c r="P84" s="24" t="s">
        <v>64</v>
      </c>
      <c r="Q84" s="17" t="s">
        <v>369</v>
      </c>
      <c r="R84" s="3" t="s">
        <v>57</v>
      </c>
      <c r="S84" s="3" t="s">
        <v>57</v>
      </c>
      <c r="T84" s="3" t="s">
        <v>57</v>
      </c>
      <c r="U84" s="3" t="s">
        <v>57</v>
      </c>
      <c r="V84" s="3" t="s">
        <v>54</v>
      </c>
    </row>
    <row r="85" spans="1:22" ht="72">
      <c r="A85" s="2">
        <v>46310</v>
      </c>
      <c r="B85" s="3" t="s">
        <v>21</v>
      </c>
      <c r="C85" s="3" t="s">
        <v>58</v>
      </c>
      <c r="D85" s="3" t="s">
        <v>70</v>
      </c>
      <c r="E85" s="3" t="s">
        <v>50</v>
      </c>
      <c r="F85" s="3" t="s">
        <v>133</v>
      </c>
      <c r="G85" s="3" t="s">
        <v>370</v>
      </c>
      <c r="H85" s="21" t="s">
        <v>52</v>
      </c>
      <c r="I85" s="3" t="s">
        <v>53</v>
      </c>
      <c r="J85" s="3" t="s">
        <v>54</v>
      </c>
      <c r="K85" s="24">
        <v>100</v>
      </c>
      <c r="L85" s="24">
        <v>15</v>
      </c>
      <c r="M85" s="24">
        <v>45</v>
      </c>
      <c r="N85" s="24" t="s">
        <v>87</v>
      </c>
      <c r="O85" s="24">
        <v>5</v>
      </c>
      <c r="P85" s="24" t="s">
        <v>64</v>
      </c>
      <c r="Q85" s="17" t="s">
        <v>371</v>
      </c>
      <c r="R85" s="3" t="s">
        <v>372</v>
      </c>
      <c r="S85" s="3" t="s">
        <v>373</v>
      </c>
      <c r="T85" s="3" t="s">
        <v>75</v>
      </c>
      <c r="U85" s="3" t="s">
        <v>57</v>
      </c>
      <c r="V85" s="3" t="s">
        <v>374</v>
      </c>
    </row>
    <row r="86" spans="1:22">
      <c r="A86" s="2"/>
      <c r="B86" s="3"/>
      <c r="C86" s="3"/>
      <c r="D86" s="3"/>
      <c r="E86" s="3"/>
      <c r="F86" s="3"/>
      <c r="G86" s="3"/>
      <c r="H86" s="21"/>
      <c r="I86" s="3"/>
      <c r="J86" s="3"/>
      <c r="K86" s="24"/>
      <c r="L86" s="24"/>
      <c r="M86" s="24"/>
      <c r="N86" s="24"/>
      <c r="O86" s="24"/>
      <c r="P86" s="24"/>
      <c r="R86" s="3"/>
      <c r="S86" s="3"/>
      <c r="T86" s="3"/>
      <c r="U86" s="3"/>
      <c r="V86" s="3"/>
    </row>
    <row r="87" spans="1:22">
      <c r="A87" s="2"/>
      <c r="B87" s="3"/>
      <c r="C87" s="3"/>
      <c r="D87" s="3"/>
      <c r="E87" s="3"/>
      <c r="F87" s="3"/>
      <c r="G87" s="3"/>
      <c r="H87" s="21"/>
      <c r="I87" s="3"/>
      <c r="J87" s="3"/>
      <c r="K87" s="24"/>
      <c r="L87" s="24"/>
      <c r="M87" s="24"/>
      <c r="N87" s="24"/>
      <c r="O87" s="24"/>
      <c r="P87" s="24"/>
      <c r="R87" s="3"/>
      <c r="S87" s="3"/>
      <c r="T87" s="3"/>
      <c r="U87" s="3"/>
      <c r="V87" s="3"/>
    </row>
    <row r="88" spans="1:22">
      <c r="A88" s="2"/>
      <c r="B88" s="3"/>
      <c r="C88" s="3"/>
      <c r="D88" s="3"/>
      <c r="E88" s="3"/>
      <c r="F88" s="3"/>
      <c r="G88" s="3"/>
      <c r="H88" s="21"/>
      <c r="I88" s="3"/>
      <c r="J88" s="3"/>
      <c r="K88" s="24"/>
      <c r="L88" s="24"/>
      <c r="M88" s="24"/>
      <c r="N88" s="24"/>
      <c r="O88" s="24"/>
      <c r="P88" s="24"/>
      <c r="R88" s="3"/>
      <c r="S88" s="3"/>
      <c r="T88" s="3"/>
      <c r="U88" s="3"/>
      <c r="V88" s="3"/>
    </row>
    <row r="89" spans="1:22">
      <c r="A89" s="2"/>
      <c r="B89" s="3"/>
      <c r="C89" s="3"/>
      <c r="D89" s="3"/>
      <c r="E89" s="3"/>
      <c r="F89" s="3"/>
      <c r="G89" s="3"/>
      <c r="H89" s="21"/>
      <c r="I89" s="3"/>
      <c r="J89" s="3"/>
      <c r="K89" s="24"/>
      <c r="L89" s="24"/>
      <c r="M89" s="24"/>
      <c r="N89" s="24"/>
      <c r="O89" s="24"/>
      <c r="P89" s="24"/>
      <c r="R89" s="3"/>
      <c r="S89" s="3"/>
      <c r="T89" s="3"/>
      <c r="U89" s="3"/>
      <c r="V89" s="3"/>
    </row>
    <row r="90" spans="1:22">
      <c r="A90" s="2"/>
      <c r="B90" s="3"/>
      <c r="C90" s="3"/>
      <c r="D90" s="3"/>
      <c r="E90" s="3"/>
      <c r="F90" s="3"/>
      <c r="G90" s="3"/>
      <c r="H90" s="21"/>
      <c r="I90" s="3"/>
      <c r="J90" s="3"/>
      <c r="K90" s="24"/>
      <c r="L90" s="24"/>
      <c r="M90" s="24"/>
      <c r="N90" s="24"/>
      <c r="O90" s="24"/>
      <c r="P90" s="24"/>
      <c r="R90" s="3"/>
      <c r="S90" s="3"/>
      <c r="T90" s="3"/>
      <c r="U90" s="3"/>
      <c r="V90" s="3"/>
    </row>
    <row r="91" spans="1:22">
      <c r="A91" s="2"/>
      <c r="B91" s="3"/>
      <c r="C91" s="3"/>
      <c r="D91" s="3"/>
      <c r="E91" s="3"/>
      <c r="F91" s="3"/>
      <c r="G91" s="3"/>
      <c r="H91" s="21"/>
      <c r="I91" s="3"/>
      <c r="J91" s="3"/>
      <c r="K91" s="24"/>
      <c r="L91" s="24"/>
      <c r="M91" s="24"/>
      <c r="N91" s="24"/>
      <c r="O91" s="24"/>
      <c r="P91" s="24"/>
      <c r="R91" s="3"/>
      <c r="S91" s="3"/>
      <c r="T91" s="3"/>
      <c r="U91" s="3"/>
      <c r="V91" s="3"/>
    </row>
    <row r="92" spans="1:22">
      <c r="A92" s="2"/>
      <c r="B92" s="3"/>
      <c r="C92" s="3"/>
      <c r="D92" s="3"/>
      <c r="E92" s="3"/>
      <c r="F92" s="3"/>
      <c r="G92" s="3"/>
      <c r="H92" s="21"/>
      <c r="I92" s="3"/>
      <c r="J92" s="3"/>
      <c r="K92" s="24"/>
      <c r="L92" s="24"/>
      <c r="M92" s="24"/>
      <c r="N92" s="24"/>
      <c r="O92" s="24"/>
      <c r="P92" s="24"/>
      <c r="R92" s="3"/>
      <c r="S92" s="3"/>
      <c r="T92" s="3"/>
      <c r="U92" s="3"/>
      <c r="V92" s="3"/>
    </row>
    <row r="93" spans="1:22">
      <c r="A93" s="2"/>
      <c r="B93" s="3"/>
      <c r="C93" s="3"/>
      <c r="D93" s="3"/>
      <c r="E93" s="3"/>
      <c r="F93" s="3"/>
      <c r="G93" s="3"/>
      <c r="H93" s="21"/>
      <c r="I93" s="3"/>
      <c r="J93" s="3"/>
      <c r="K93" s="24"/>
      <c r="L93" s="24"/>
      <c r="M93" s="24"/>
      <c r="N93" s="24"/>
      <c r="O93" s="24"/>
      <c r="P93" s="24"/>
      <c r="R93" s="3"/>
      <c r="S93" s="3"/>
      <c r="T93" s="3"/>
      <c r="U93" s="3"/>
      <c r="V93" s="3"/>
    </row>
    <row r="94" spans="1:22">
      <c r="A94" s="2"/>
      <c r="B94" s="3"/>
      <c r="C94" s="3"/>
      <c r="D94" s="3"/>
      <c r="E94" s="3"/>
      <c r="F94" s="3"/>
      <c r="G94" s="3"/>
      <c r="H94" s="21"/>
      <c r="I94" s="3"/>
      <c r="J94" s="3"/>
      <c r="K94" s="24"/>
      <c r="L94" s="24"/>
      <c r="M94" s="24"/>
      <c r="N94" s="24"/>
      <c r="O94" s="24"/>
      <c r="P94" s="24"/>
      <c r="R94" s="3"/>
      <c r="S94" s="3"/>
      <c r="T94" s="3"/>
      <c r="U94" s="3"/>
      <c r="V94" s="3"/>
    </row>
    <row r="95" spans="1:22">
      <c r="A95" s="2"/>
      <c r="B95" s="3"/>
      <c r="C95" s="3"/>
      <c r="D95" s="3"/>
      <c r="E95" s="3"/>
      <c r="F95" s="3"/>
      <c r="G95" s="3"/>
      <c r="H95" s="21"/>
      <c r="I95" s="3"/>
      <c r="J95" s="3"/>
      <c r="K95" s="24"/>
      <c r="L95" s="24"/>
      <c r="M95" s="24"/>
      <c r="N95" s="24"/>
      <c r="O95" s="24"/>
      <c r="P95" s="24"/>
      <c r="R95" s="3"/>
      <c r="S95" s="3"/>
      <c r="T95" s="3"/>
      <c r="U95" s="3"/>
      <c r="V95" s="3"/>
    </row>
    <row r="96" spans="1:22">
      <c r="A96" s="2"/>
      <c r="B96" s="3"/>
      <c r="C96" s="3"/>
      <c r="D96" s="3"/>
      <c r="E96" s="3"/>
      <c r="F96" s="3"/>
      <c r="G96" s="3"/>
      <c r="H96" s="21"/>
      <c r="I96" s="3"/>
      <c r="J96" s="3"/>
      <c r="K96" s="24"/>
      <c r="L96" s="24"/>
      <c r="M96" s="24"/>
      <c r="N96" s="24"/>
      <c r="O96" s="24"/>
      <c r="P96" s="24"/>
      <c r="R96" s="3"/>
      <c r="S96" s="3"/>
      <c r="T96" s="3"/>
      <c r="U96" s="3"/>
      <c r="V96" s="3"/>
    </row>
    <row r="97" spans="1:22">
      <c r="A97" s="2"/>
      <c r="B97" s="3"/>
      <c r="C97" s="3"/>
      <c r="D97" s="3"/>
      <c r="E97" s="3"/>
      <c r="F97" s="3"/>
      <c r="G97" s="3"/>
      <c r="H97" s="21"/>
      <c r="I97" s="3"/>
      <c r="J97" s="3"/>
      <c r="K97" s="24"/>
      <c r="L97" s="24"/>
      <c r="M97" s="24"/>
      <c r="N97" s="24"/>
      <c r="O97" s="24"/>
      <c r="P97" s="24"/>
      <c r="R97" s="3"/>
      <c r="S97" s="3"/>
      <c r="T97" s="3"/>
      <c r="U97" s="3"/>
      <c r="V97" s="3"/>
    </row>
    <row r="98" spans="1:22">
      <c r="A98" s="2"/>
      <c r="B98" s="3"/>
      <c r="C98" s="3"/>
      <c r="D98" s="3"/>
      <c r="E98" s="3"/>
      <c r="F98" s="3"/>
      <c r="G98" s="3"/>
      <c r="H98" s="21"/>
      <c r="I98" s="3"/>
      <c r="J98" s="3"/>
      <c r="K98" s="24"/>
      <c r="L98" s="24"/>
      <c r="M98" s="24"/>
      <c r="N98" s="24"/>
      <c r="O98" s="24"/>
      <c r="P98" s="24"/>
      <c r="R98" s="3"/>
      <c r="S98" s="3"/>
      <c r="T98" s="3"/>
      <c r="U98" s="3"/>
      <c r="V98" s="3"/>
    </row>
    <row r="99" spans="1:22">
      <c r="A99" s="2"/>
      <c r="B99" s="3"/>
      <c r="C99" s="3"/>
      <c r="D99" s="3"/>
      <c r="E99" s="3"/>
      <c r="F99" s="3"/>
      <c r="G99" s="3"/>
      <c r="H99" s="21"/>
      <c r="I99" s="3"/>
      <c r="J99" s="3"/>
      <c r="K99" s="24"/>
      <c r="L99" s="24"/>
      <c r="M99" s="24"/>
      <c r="N99" s="24"/>
      <c r="O99" s="24"/>
      <c r="P99" s="24"/>
      <c r="R99" s="3"/>
      <c r="S99" s="3"/>
      <c r="T99" s="3"/>
      <c r="U99" s="3"/>
      <c r="V99" s="3"/>
    </row>
    <row r="100" spans="1:22">
      <c r="A100" s="2"/>
      <c r="B100" s="3"/>
      <c r="C100" s="3"/>
      <c r="D100" s="3"/>
      <c r="E100" s="3"/>
      <c r="F100" s="3"/>
      <c r="G100" s="3"/>
      <c r="H100" s="21"/>
      <c r="I100" s="3"/>
      <c r="J100" s="3"/>
      <c r="K100" s="24"/>
      <c r="L100" s="24"/>
      <c r="M100" s="24"/>
      <c r="N100" s="24"/>
      <c r="O100" s="24"/>
      <c r="P100" s="24"/>
      <c r="R100" s="3"/>
      <c r="S100" s="3"/>
      <c r="T100" s="3"/>
      <c r="U100" s="3"/>
      <c r="V100" s="3"/>
    </row>
    <row r="101" spans="1:22">
      <c r="A101" s="2"/>
      <c r="B101" s="3"/>
      <c r="C101" s="3"/>
      <c r="D101" s="3"/>
      <c r="E101" s="3"/>
      <c r="F101" s="3"/>
      <c r="G101" s="3"/>
      <c r="H101" s="21"/>
      <c r="I101" s="3"/>
      <c r="J101" s="3"/>
      <c r="K101" s="24"/>
      <c r="L101" s="24"/>
      <c r="M101" s="24"/>
      <c r="N101" s="24"/>
      <c r="O101" s="24"/>
      <c r="P101" s="24"/>
      <c r="R101" s="3"/>
      <c r="S101" s="3"/>
      <c r="T101" s="3"/>
      <c r="U101" s="3"/>
      <c r="V101" s="3"/>
    </row>
    <row r="102" spans="1:22">
      <c r="A102" s="2"/>
      <c r="B102" s="3"/>
      <c r="C102" s="3"/>
      <c r="D102" s="3"/>
      <c r="E102" s="3"/>
      <c r="F102" s="3"/>
      <c r="G102" s="3"/>
      <c r="H102" s="21"/>
      <c r="I102" s="3"/>
      <c r="J102" s="3"/>
      <c r="K102" s="24"/>
      <c r="L102" s="24"/>
      <c r="M102" s="24"/>
      <c r="N102" s="24"/>
      <c r="O102" s="24"/>
      <c r="P102" s="24"/>
      <c r="R102" s="3"/>
      <c r="S102" s="3"/>
      <c r="T102" s="3"/>
      <c r="U102" s="3"/>
      <c r="V102" s="3"/>
    </row>
    <row r="103" spans="1:22">
      <c r="A103" s="2"/>
      <c r="B103" s="3"/>
      <c r="C103" s="3"/>
      <c r="D103" s="3"/>
      <c r="E103" s="3"/>
      <c r="F103" s="3"/>
      <c r="G103" s="3"/>
      <c r="H103" s="21"/>
      <c r="I103" s="3"/>
      <c r="J103" s="3"/>
      <c r="K103" s="24"/>
      <c r="L103" s="24"/>
      <c r="M103" s="24"/>
      <c r="N103" s="24"/>
      <c r="O103" s="24"/>
      <c r="P103" s="24"/>
      <c r="R103" s="3"/>
      <c r="S103" s="3"/>
      <c r="T103" s="3"/>
      <c r="U103" s="3"/>
      <c r="V103" s="3"/>
    </row>
    <row r="104" spans="1:22">
      <c r="A104" s="2"/>
      <c r="B104" s="3"/>
      <c r="C104" s="3"/>
      <c r="D104" s="3"/>
      <c r="E104" s="3"/>
      <c r="F104" s="3"/>
      <c r="G104" s="3"/>
      <c r="H104" s="21"/>
      <c r="I104" s="3"/>
      <c r="J104" s="3"/>
      <c r="K104" s="24"/>
      <c r="L104" s="24"/>
      <c r="M104" s="24"/>
      <c r="N104" s="24"/>
      <c r="O104" s="24"/>
      <c r="P104" s="24"/>
      <c r="R104" s="3"/>
      <c r="S104" s="3"/>
      <c r="T104" s="3"/>
      <c r="U104" s="3"/>
      <c r="V104" s="3"/>
    </row>
    <row r="105" spans="1:22">
      <c r="A105" s="2"/>
      <c r="B105" s="3"/>
      <c r="C105" s="3"/>
      <c r="D105" s="3"/>
      <c r="E105" s="3"/>
      <c r="F105" s="3"/>
      <c r="G105" s="3"/>
      <c r="H105" s="21"/>
      <c r="I105" s="3"/>
      <c r="J105" s="3"/>
      <c r="K105" s="24"/>
      <c r="L105" s="24"/>
      <c r="M105" s="24"/>
      <c r="N105" s="24"/>
      <c r="O105" s="24"/>
      <c r="P105" s="24"/>
      <c r="R105" s="3"/>
      <c r="S105" s="3"/>
      <c r="T105" s="3"/>
      <c r="U105" s="3"/>
      <c r="V105" s="3"/>
    </row>
    <row r="106" spans="1:22">
      <c r="A106" s="2"/>
      <c r="B106" s="3"/>
      <c r="C106" s="3"/>
      <c r="D106" s="3"/>
      <c r="E106" s="3"/>
      <c r="F106" s="3"/>
      <c r="G106" s="3"/>
      <c r="H106" s="21"/>
      <c r="I106" s="3"/>
      <c r="J106" s="3"/>
      <c r="K106" s="24"/>
      <c r="L106" s="24"/>
      <c r="M106" s="24"/>
      <c r="N106" s="24"/>
      <c r="O106" s="24"/>
      <c r="P106" s="24"/>
      <c r="R106" s="3"/>
      <c r="S106" s="3"/>
      <c r="T106" s="3"/>
      <c r="U106" s="3"/>
      <c r="V106" s="3"/>
    </row>
    <row r="107" spans="1:22">
      <c r="A107" s="2"/>
      <c r="B107" s="3"/>
      <c r="C107" s="3"/>
      <c r="D107" s="3"/>
      <c r="E107" s="3"/>
      <c r="F107" s="3"/>
      <c r="G107" s="3"/>
      <c r="H107" s="21"/>
      <c r="I107" s="3"/>
      <c r="J107" s="3"/>
      <c r="K107" s="24"/>
      <c r="L107" s="24"/>
      <c r="M107" s="24"/>
      <c r="N107" s="24"/>
      <c r="O107" s="24"/>
      <c r="P107" s="24"/>
      <c r="R107" s="3"/>
      <c r="S107" s="3"/>
      <c r="T107" s="3"/>
      <c r="U107" s="3"/>
      <c r="V107" s="3"/>
    </row>
    <row r="108" spans="1:22">
      <c r="A108" s="2"/>
      <c r="B108" s="3"/>
      <c r="C108" s="3"/>
      <c r="D108" s="3"/>
      <c r="E108" s="3"/>
      <c r="F108" s="3"/>
      <c r="G108" s="3"/>
      <c r="H108" s="21"/>
      <c r="I108" s="3"/>
      <c r="J108" s="3"/>
      <c r="K108" s="24"/>
      <c r="L108" s="24"/>
      <c r="M108" s="24"/>
      <c r="N108" s="24"/>
      <c r="O108" s="24"/>
      <c r="P108" s="24"/>
      <c r="R108" s="3"/>
      <c r="S108" s="3"/>
      <c r="T108" s="3"/>
      <c r="U108" s="3"/>
      <c r="V108" s="3"/>
    </row>
    <row r="109" spans="1:22">
      <c r="A109" s="2"/>
      <c r="B109" s="3"/>
      <c r="C109" s="3"/>
      <c r="D109" s="3"/>
      <c r="E109" s="3"/>
      <c r="F109" s="3"/>
      <c r="G109" s="3"/>
      <c r="H109" s="21"/>
      <c r="I109" s="3"/>
      <c r="J109" s="3"/>
      <c r="K109" s="24"/>
      <c r="L109" s="24"/>
      <c r="M109" s="24"/>
      <c r="N109" s="24"/>
      <c r="O109" s="24"/>
      <c r="P109" s="24"/>
      <c r="R109" s="3"/>
      <c r="S109" s="3"/>
      <c r="T109" s="3"/>
      <c r="U109" s="3"/>
      <c r="V109" s="3"/>
    </row>
    <row r="110" spans="1:22">
      <c r="A110" s="2"/>
      <c r="B110" s="3"/>
      <c r="C110" s="3"/>
      <c r="D110" s="3"/>
      <c r="E110" s="3"/>
      <c r="F110" s="3"/>
      <c r="G110" s="3"/>
      <c r="H110" s="21"/>
      <c r="I110" s="3"/>
      <c r="J110" s="3"/>
      <c r="K110" s="24"/>
      <c r="L110" s="24"/>
      <c r="M110" s="24"/>
      <c r="N110" s="24"/>
      <c r="O110" s="24"/>
      <c r="P110" s="24"/>
      <c r="R110" s="3"/>
      <c r="S110" s="3"/>
      <c r="T110" s="3"/>
      <c r="U110" s="3"/>
      <c r="V110" s="3"/>
    </row>
    <row r="111" spans="1:22">
      <c r="A111" s="2"/>
      <c r="B111" s="3"/>
      <c r="C111" s="3"/>
      <c r="D111" s="3"/>
      <c r="E111" s="3"/>
      <c r="F111" s="3"/>
      <c r="G111" s="3"/>
      <c r="H111" s="21"/>
      <c r="I111" s="3"/>
      <c r="J111" s="3"/>
      <c r="K111" s="24"/>
      <c r="L111" s="24"/>
      <c r="M111" s="24"/>
      <c r="N111" s="24"/>
      <c r="O111" s="24"/>
      <c r="P111" s="24"/>
      <c r="R111" s="3"/>
      <c r="S111" s="3"/>
      <c r="T111" s="3"/>
      <c r="U111" s="3"/>
      <c r="V111" s="3"/>
    </row>
    <row r="112" spans="1:22">
      <c r="A112" s="2"/>
      <c r="B112" s="3"/>
      <c r="C112" s="3"/>
      <c r="D112" s="3"/>
      <c r="E112" s="3"/>
      <c r="F112" s="3"/>
      <c r="G112" s="3"/>
      <c r="H112" s="21"/>
      <c r="I112" s="3"/>
      <c r="J112" s="3"/>
      <c r="K112" s="24"/>
      <c r="L112" s="24"/>
      <c r="M112" s="24"/>
      <c r="N112" s="24"/>
      <c r="O112" s="24"/>
      <c r="P112" s="24"/>
      <c r="R112" s="3"/>
      <c r="S112" s="3"/>
      <c r="T112" s="3"/>
      <c r="U112" s="3"/>
      <c r="V112" s="3"/>
    </row>
    <row r="113" spans="1:22">
      <c r="A113" s="2"/>
      <c r="B113" s="3"/>
      <c r="C113" s="3"/>
      <c r="D113" s="3"/>
      <c r="E113" s="3"/>
      <c r="F113" s="3"/>
      <c r="G113" s="3"/>
      <c r="H113" s="21"/>
      <c r="I113" s="3"/>
      <c r="J113" s="3"/>
      <c r="K113" s="24"/>
      <c r="L113" s="24"/>
      <c r="M113" s="24"/>
      <c r="N113" s="24"/>
      <c r="O113" s="24"/>
      <c r="P113" s="24"/>
      <c r="R113" s="3"/>
      <c r="S113" s="3"/>
      <c r="T113" s="3"/>
      <c r="U113" s="3"/>
      <c r="V113" s="3"/>
    </row>
    <row r="114" spans="1:22">
      <c r="A114" s="2"/>
      <c r="B114" s="3"/>
      <c r="C114" s="3"/>
      <c r="D114" s="3"/>
      <c r="E114" s="3"/>
      <c r="F114" s="3"/>
      <c r="G114" s="3"/>
      <c r="H114" s="21"/>
      <c r="I114" s="3"/>
      <c r="J114" s="3"/>
      <c r="K114" s="24"/>
      <c r="L114" s="24"/>
      <c r="M114" s="24"/>
      <c r="N114" s="24"/>
      <c r="O114" s="24"/>
      <c r="P114" s="24"/>
      <c r="R114" s="3"/>
      <c r="S114" s="3"/>
      <c r="T114" s="3"/>
      <c r="U114" s="3"/>
      <c r="V114" s="3"/>
    </row>
    <row r="115" spans="1:22">
      <c r="A115" s="2"/>
      <c r="B115" s="3"/>
      <c r="C115" s="3"/>
      <c r="D115" s="3"/>
      <c r="E115" s="3"/>
      <c r="F115" s="3"/>
      <c r="G115" s="3"/>
      <c r="H115" s="21"/>
      <c r="I115" s="3"/>
      <c r="J115" s="3"/>
      <c r="K115" s="24"/>
      <c r="L115" s="24"/>
      <c r="M115" s="24"/>
      <c r="N115" s="24"/>
      <c r="O115" s="24"/>
      <c r="P115" s="24"/>
      <c r="R115" s="3"/>
      <c r="S115" s="3"/>
      <c r="T115" s="3"/>
      <c r="U115" s="3"/>
      <c r="V115" s="3"/>
    </row>
    <row r="116" spans="1:22">
      <c r="A116" s="2"/>
      <c r="B116" s="3"/>
      <c r="C116" s="3"/>
      <c r="D116" s="3"/>
      <c r="E116" s="3"/>
      <c r="F116" s="3"/>
      <c r="G116" s="3"/>
      <c r="H116" s="21"/>
      <c r="I116" s="3"/>
      <c r="J116" s="3"/>
      <c r="K116" s="24"/>
      <c r="L116" s="24"/>
      <c r="M116" s="24"/>
      <c r="N116" s="24"/>
      <c r="O116" s="24"/>
      <c r="P116" s="24"/>
      <c r="R116" s="3"/>
      <c r="S116" s="3"/>
      <c r="T116" s="3"/>
      <c r="U116" s="3"/>
      <c r="V116" s="3"/>
    </row>
    <row r="117" spans="1:22">
      <c r="A117" s="2"/>
      <c r="B117" s="3"/>
      <c r="C117" s="3"/>
      <c r="D117" s="3"/>
      <c r="E117" s="3"/>
      <c r="F117" s="3"/>
      <c r="G117" s="3"/>
      <c r="H117" s="21"/>
      <c r="I117" s="3"/>
      <c r="J117" s="3"/>
      <c r="K117" s="24"/>
      <c r="L117" s="24"/>
      <c r="M117" s="24"/>
      <c r="N117" s="24"/>
      <c r="O117" s="24"/>
      <c r="P117" s="24"/>
      <c r="R117" s="3"/>
      <c r="S117" s="3"/>
      <c r="T117" s="3"/>
      <c r="U117" s="3"/>
      <c r="V117" s="3"/>
    </row>
    <row r="118" spans="1:22">
      <c r="A118" s="2"/>
      <c r="B118" s="3"/>
      <c r="C118" s="3"/>
      <c r="D118" s="3"/>
      <c r="E118" s="3"/>
      <c r="F118" s="3"/>
      <c r="G118" s="3"/>
      <c r="H118" s="21"/>
      <c r="I118" s="3"/>
      <c r="J118" s="3"/>
      <c r="K118" s="24"/>
      <c r="L118" s="24"/>
      <c r="M118" s="24"/>
      <c r="N118" s="24"/>
      <c r="O118" s="24"/>
      <c r="P118" s="24"/>
      <c r="R118" s="3"/>
      <c r="S118" s="3"/>
      <c r="T118" s="3"/>
      <c r="U118" s="3"/>
      <c r="V118" s="3"/>
    </row>
    <row r="119" spans="1:22">
      <c r="A119" s="2"/>
      <c r="B119" s="3"/>
      <c r="C119" s="3"/>
      <c r="D119" s="3"/>
      <c r="E119" s="3"/>
      <c r="F119" s="3"/>
      <c r="G119" s="3"/>
      <c r="H119" s="21"/>
      <c r="I119" s="3"/>
      <c r="J119" s="3"/>
      <c r="K119" s="24"/>
      <c r="L119" s="24"/>
      <c r="M119" s="24"/>
      <c r="N119" s="24"/>
      <c r="O119" s="24"/>
      <c r="P119" s="24"/>
      <c r="R119" s="3"/>
      <c r="S119" s="3"/>
      <c r="T119" s="3"/>
      <c r="U119" s="3"/>
      <c r="V119" s="3"/>
    </row>
    <row r="120" spans="1:22">
      <c r="A120" s="2"/>
      <c r="B120" s="3"/>
      <c r="C120" s="3"/>
      <c r="D120" s="3"/>
      <c r="E120" s="3"/>
      <c r="F120" s="3"/>
      <c r="G120" s="3"/>
      <c r="H120" s="21"/>
      <c r="I120" s="3"/>
      <c r="J120" s="3"/>
      <c r="K120" s="24"/>
      <c r="L120" s="24"/>
      <c r="M120" s="24"/>
      <c r="N120" s="24"/>
      <c r="O120" s="24"/>
      <c r="P120" s="24"/>
      <c r="R120" s="3"/>
      <c r="S120" s="3"/>
      <c r="T120" s="3"/>
      <c r="U120" s="3"/>
      <c r="V120" s="3"/>
    </row>
    <row r="121" spans="1:22">
      <c r="A121" s="2"/>
      <c r="B121" s="3"/>
      <c r="C121" s="3"/>
      <c r="D121" s="3"/>
      <c r="E121" s="3"/>
      <c r="F121" s="3"/>
      <c r="G121" s="3"/>
      <c r="H121" s="21"/>
      <c r="I121" s="3"/>
      <c r="J121" s="3"/>
      <c r="K121" s="24"/>
      <c r="L121" s="24"/>
      <c r="M121" s="24"/>
      <c r="N121" s="24"/>
      <c r="O121" s="24"/>
      <c r="P121" s="24"/>
      <c r="R121" s="3"/>
      <c r="S121" s="3"/>
      <c r="T121" s="3"/>
      <c r="U121" s="3"/>
      <c r="V121" s="3"/>
    </row>
    <row r="122" spans="1:22">
      <c r="A122" s="2"/>
      <c r="B122" s="3"/>
      <c r="C122" s="3"/>
      <c r="D122" s="3"/>
      <c r="E122" s="3"/>
      <c r="F122" s="3"/>
      <c r="G122" s="3"/>
      <c r="H122" s="21"/>
      <c r="I122" s="3"/>
      <c r="J122" s="3"/>
      <c r="K122" s="24"/>
      <c r="L122" s="24"/>
      <c r="M122" s="24"/>
      <c r="N122" s="24"/>
      <c r="O122" s="24"/>
      <c r="P122" s="24"/>
      <c r="R122" s="3"/>
      <c r="S122" s="3"/>
      <c r="T122" s="3"/>
      <c r="U122" s="3"/>
      <c r="V122" s="3"/>
    </row>
    <row r="123" spans="1:22">
      <c r="A123" s="2"/>
      <c r="B123" s="3"/>
      <c r="C123" s="3"/>
      <c r="D123" s="3"/>
      <c r="E123" s="3"/>
      <c r="F123" s="3"/>
      <c r="G123" s="3"/>
      <c r="H123" s="21"/>
      <c r="I123" s="3"/>
      <c r="J123" s="3"/>
      <c r="K123" s="24"/>
      <c r="L123" s="24"/>
      <c r="M123" s="24"/>
      <c r="N123" s="24"/>
      <c r="O123" s="24"/>
      <c r="P123" s="24"/>
      <c r="R123" s="3"/>
      <c r="S123" s="3"/>
      <c r="T123" s="3"/>
      <c r="U123" s="3"/>
      <c r="V123" s="3"/>
    </row>
    <row r="124" spans="1:22">
      <c r="A124" s="2"/>
      <c r="B124" s="3"/>
      <c r="C124" s="3"/>
      <c r="D124" s="3"/>
      <c r="E124" s="3"/>
      <c r="F124" s="3"/>
      <c r="G124" s="3"/>
      <c r="H124" s="21"/>
      <c r="I124" s="3"/>
      <c r="J124" s="3"/>
      <c r="K124" s="24"/>
      <c r="L124" s="24"/>
      <c r="M124" s="24"/>
      <c r="N124" s="24"/>
      <c r="O124" s="24"/>
      <c r="P124" s="24"/>
      <c r="R124" s="3"/>
      <c r="S124" s="3"/>
      <c r="T124" s="3"/>
      <c r="U124" s="3"/>
      <c r="V124" s="3"/>
    </row>
    <row r="125" spans="1:22">
      <c r="A125" s="2"/>
      <c r="B125" s="3"/>
      <c r="C125" s="3"/>
      <c r="D125" s="3"/>
      <c r="E125" s="3"/>
      <c r="F125" s="3"/>
      <c r="G125" s="3"/>
      <c r="H125" s="21"/>
      <c r="I125" s="3"/>
      <c r="J125" s="3"/>
      <c r="K125" s="24"/>
      <c r="L125" s="24"/>
      <c r="M125" s="24"/>
      <c r="N125" s="24"/>
      <c r="O125" s="24"/>
      <c r="P125" s="24"/>
      <c r="R125" s="3"/>
      <c r="S125" s="3"/>
      <c r="T125" s="3"/>
      <c r="U125" s="3"/>
      <c r="V125" s="3"/>
    </row>
    <row r="126" spans="1:22">
      <c r="A126" s="2"/>
      <c r="B126" s="3"/>
      <c r="C126" s="3"/>
      <c r="D126" s="3"/>
      <c r="E126" s="3"/>
      <c r="F126" s="3"/>
      <c r="G126" s="3"/>
      <c r="H126" s="21"/>
      <c r="I126" s="3"/>
      <c r="J126" s="3"/>
      <c r="K126" s="24"/>
      <c r="L126" s="24"/>
      <c r="M126" s="24"/>
      <c r="N126" s="24"/>
      <c r="O126" s="24"/>
      <c r="P126" s="24"/>
      <c r="R126" s="3"/>
      <c r="S126" s="3"/>
      <c r="T126" s="3"/>
      <c r="U126" s="3"/>
      <c r="V126" s="3"/>
    </row>
    <row r="127" spans="1:22">
      <c r="A127" s="2"/>
      <c r="B127" s="3"/>
      <c r="C127" s="3"/>
      <c r="D127" s="3"/>
      <c r="E127" s="3"/>
      <c r="F127" s="3"/>
      <c r="G127" s="3"/>
      <c r="H127" s="21"/>
      <c r="I127" s="3"/>
      <c r="J127" s="3"/>
      <c r="K127" s="24"/>
      <c r="L127" s="24"/>
      <c r="M127" s="24"/>
      <c r="N127" s="24"/>
      <c r="O127" s="24"/>
      <c r="P127" s="24"/>
      <c r="R127" s="3"/>
      <c r="S127" s="3"/>
      <c r="T127" s="3"/>
      <c r="U127" s="3"/>
      <c r="V127" s="3"/>
    </row>
    <row r="128" spans="1:22">
      <c r="A128" s="2"/>
      <c r="B128" s="3"/>
      <c r="C128" s="3"/>
      <c r="D128" s="3"/>
      <c r="E128" s="3"/>
      <c r="F128" s="3"/>
      <c r="G128" s="3"/>
      <c r="H128" s="21"/>
      <c r="I128" s="3"/>
      <c r="J128" s="3"/>
      <c r="K128" s="24"/>
      <c r="L128" s="24"/>
      <c r="M128" s="24"/>
      <c r="N128" s="24"/>
      <c r="O128" s="24"/>
      <c r="P128" s="24"/>
      <c r="R128" s="3"/>
      <c r="S128" s="3"/>
      <c r="T128" s="3"/>
      <c r="U128" s="3"/>
      <c r="V128" s="3"/>
    </row>
    <row r="129" spans="1:22">
      <c r="A129" s="2"/>
      <c r="B129" s="3"/>
      <c r="C129" s="3"/>
      <c r="D129" s="3"/>
      <c r="E129" s="3"/>
      <c r="F129" s="3"/>
      <c r="G129" s="3"/>
      <c r="H129" s="21"/>
      <c r="I129" s="3"/>
      <c r="J129" s="3"/>
      <c r="K129" s="24"/>
      <c r="L129" s="24"/>
      <c r="M129" s="24"/>
      <c r="N129" s="24"/>
      <c r="O129" s="24"/>
      <c r="P129" s="24"/>
      <c r="R129" s="3"/>
      <c r="S129" s="3"/>
      <c r="T129" s="3"/>
      <c r="U129" s="3"/>
      <c r="V129" s="3"/>
    </row>
    <row r="130" spans="1:22">
      <c r="A130" s="2"/>
      <c r="B130" s="3"/>
      <c r="C130" s="3"/>
      <c r="D130" s="3"/>
      <c r="E130" s="3"/>
      <c r="F130" s="3"/>
      <c r="G130" s="3"/>
      <c r="H130" s="21"/>
      <c r="I130" s="3"/>
      <c r="J130" s="3"/>
      <c r="K130" s="24"/>
      <c r="L130" s="24"/>
      <c r="M130" s="24"/>
      <c r="N130" s="24"/>
      <c r="O130" s="24"/>
      <c r="P130" s="24"/>
      <c r="R130" s="3"/>
      <c r="S130" s="3"/>
      <c r="T130" s="3"/>
      <c r="U130" s="3"/>
      <c r="V130" s="3"/>
    </row>
    <row r="131" spans="1:22">
      <c r="A131" s="2"/>
      <c r="B131" s="3"/>
      <c r="C131" s="3"/>
      <c r="D131" s="3"/>
      <c r="E131" s="3"/>
      <c r="F131" s="3"/>
      <c r="G131" s="3"/>
      <c r="H131" s="21"/>
      <c r="I131" s="3"/>
      <c r="J131" s="3"/>
      <c r="K131" s="24"/>
      <c r="L131" s="24"/>
      <c r="M131" s="24"/>
      <c r="N131" s="24"/>
      <c r="O131" s="24"/>
      <c r="P131" s="24"/>
      <c r="R131" s="3"/>
      <c r="S131" s="3"/>
      <c r="T131" s="3"/>
      <c r="U131" s="3"/>
      <c r="V131" s="3"/>
    </row>
    <row r="132" spans="1:22">
      <c r="A132" s="2"/>
      <c r="B132" s="3"/>
      <c r="C132" s="3"/>
      <c r="D132" s="3"/>
      <c r="E132" s="3"/>
      <c r="F132" s="3"/>
      <c r="G132" s="3"/>
      <c r="H132" s="21"/>
      <c r="I132" s="3"/>
      <c r="J132" s="3"/>
      <c r="K132" s="24"/>
      <c r="L132" s="24"/>
      <c r="M132" s="24"/>
      <c r="N132" s="24"/>
      <c r="O132" s="24"/>
      <c r="P132" s="24"/>
      <c r="R132" s="3"/>
      <c r="S132" s="3"/>
      <c r="T132" s="3"/>
      <c r="U132" s="3"/>
      <c r="V132" s="3"/>
    </row>
    <row r="133" spans="1:22">
      <c r="A133" s="2"/>
      <c r="B133" s="3"/>
      <c r="C133" s="3"/>
      <c r="D133" s="3"/>
      <c r="E133" s="3"/>
      <c r="F133" s="3"/>
      <c r="G133" s="3"/>
      <c r="H133" s="21"/>
      <c r="I133" s="3"/>
      <c r="J133" s="3"/>
      <c r="K133" s="24"/>
      <c r="L133" s="24"/>
      <c r="M133" s="24"/>
      <c r="N133" s="24"/>
      <c r="O133" s="24"/>
      <c r="P133" s="24"/>
      <c r="R133" s="3"/>
      <c r="S133" s="3"/>
      <c r="T133" s="3"/>
      <c r="U133" s="3"/>
      <c r="V133" s="3"/>
    </row>
    <row r="134" spans="1:22">
      <c r="A134" s="2"/>
      <c r="B134" s="3"/>
      <c r="C134" s="3"/>
      <c r="D134" s="3"/>
      <c r="E134" s="3"/>
      <c r="F134" s="3"/>
      <c r="G134" s="3"/>
      <c r="H134" s="21"/>
      <c r="I134" s="3"/>
      <c r="J134" s="3"/>
      <c r="K134" s="24"/>
      <c r="L134" s="24"/>
      <c r="M134" s="24"/>
      <c r="N134" s="24"/>
      <c r="O134" s="24"/>
      <c r="P134" s="24"/>
      <c r="R134" s="3"/>
      <c r="S134" s="3"/>
      <c r="T134" s="3"/>
      <c r="U134" s="3"/>
      <c r="V134" s="3"/>
    </row>
    <row r="135" spans="1:22">
      <c r="A135" s="2"/>
      <c r="B135" s="3"/>
      <c r="C135" s="3"/>
      <c r="D135" s="3"/>
      <c r="E135" s="3"/>
      <c r="F135" s="3"/>
      <c r="G135" s="3"/>
      <c r="H135" s="21"/>
      <c r="I135" s="3"/>
      <c r="J135" s="3"/>
      <c r="K135" s="24"/>
      <c r="L135" s="24"/>
      <c r="M135" s="24"/>
      <c r="N135" s="24"/>
      <c r="O135" s="24"/>
      <c r="P135" s="24"/>
      <c r="R135" s="3"/>
      <c r="S135" s="3"/>
      <c r="T135" s="3"/>
      <c r="U135" s="3"/>
      <c r="V135" s="3"/>
    </row>
    <row r="136" spans="1:22">
      <c r="A136" s="2"/>
      <c r="B136" s="3"/>
      <c r="C136" s="3"/>
      <c r="D136" s="3"/>
      <c r="E136" s="3"/>
      <c r="F136" s="3"/>
      <c r="G136" s="3"/>
      <c r="H136" s="21"/>
      <c r="I136" s="3"/>
      <c r="J136" s="3"/>
      <c r="K136" s="24"/>
      <c r="L136" s="24"/>
      <c r="M136" s="24"/>
      <c r="N136" s="24"/>
      <c r="O136" s="24"/>
      <c r="P136" s="24"/>
      <c r="R136" s="3"/>
      <c r="S136" s="3"/>
      <c r="T136" s="3"/>
      <c r="U136" s="3"/>
      <c r="V136" s="3"/>
    </row>
    <row r="137" spans="1:22">
      <c r="A137" s="2"/>
      <c r="B137" s="3"/>
      <c r="C137" s="3"/>
      <c r="D137" s="3"/>
      <c r="E137" s="3"/>
      <c r="F137" s="3"/>
      <c r="G137" s="3"/>
      <c r="H137" s="21"/>
      <c r="I137" s="3"/>
      <c r="J137" s="3"/>
      <c r="K137" s="24"/>
      <c r="L137" s="24"/>
      <c r="M137" s="24"/>
      <c r="N137" s="24"/>
      <c r="O137" s="24"/>
      <c r="P137" s="24"/>
      <c r="R137" s="3"/>
      <c r="S137" s="3"/>
      <c r="T137" s="3"/>
      <c r="U137" s="3"/>
      <c r="V137" s="3"/>
    </row>
    <row r="138" spans="1:22">
      <c r="A138" s="2"/>
      <c r="B138" s="3"/>
      <c r="C138" s="3"/>
      <c r="D138" s="3"/>
      <c r="E138" s="3"/>
      <c r="F138" s="3"/>
      <c r="G138" s="3"/>
      <c r="H138" s="21"/>
      <c r="I138" s="3"/>
      <c r="J138" s="3"/>
      <c r="K138" s="24"/>
      <c r="L138" s="24"/>
      <c r="M138" s="24"/>
      <c r="N138" s="24"/>
      <c r="O138" s="24"/>
      <c r="P138" s="24"/>
      <c r="R138" s="3"/>
      <c r="S138" s="3"/>
      <c r="T138" s="3"/>
      <c r="U138" s="3"/>
      <c r="V138" s="3"/>
    </row>
    <row r="139" spans="1:22">
      <c r="A139" s="2"/>
      <c r="B139" s="3"/>
      <c r="C139" s="3"/>
      <c r="D139" s="3"/>
      <c r="E139" s="3"/>
      <c r="F139" s="3"/>
      <c r="G139" s="3"/>
      <c r="H139" s="21"/>
      <c r="I139" s="3"/>
      <c r="J139" s="3"/>
      <c r="K139" s="24"/>
      <c r="L139" s="24"/>
      <c r="M139" s="24"/>
      <c r="N139" s="24"/>
      <c r="O139" s="24"/>
      <c r="P139" s="24"/>
      <c r="R139" s="3"/>
      <c r="S139" s="3"/>
      <c r="T139" s="3"/>
      <c r="U139" s="3"/>
      <c r="V139" s="3"/>
    </row>
    <row r="140" spans="1:22">
      <c r="A140" s="2"/>
      <c r="B140" s="3"/>
      <c r="C140" s="3"/>
      <c r="D140" s="3"/>
      <c r="E140" s="3"/>
      <c r="F140" s="3"/>
      <c r="G140" s="3"/>
      <c r="H140" s="21"/>
      <c r="I140" s="3"/>
      <c r="J140" s="3"/>
      <c r="K140" s="24"/>
      <c r="L140" s="24"/>
      <c r="M140" s="24"/>
      <c r="N140" s="24"/>
      <c r="O140" s="24"/>
      <c r="P140" s="24"/>
      <c r="R140" s="3"/>
      <c r="S140" s="3"/>
      <c r="T140" s="3"/>
      <c r="U140" s="3"/>
      <c r="V140" s="3"/>
    </row>
    <row r="141" spans="1:22">
      <c r="A141" s="2"/>
      <c r="B141" s="3"/>
      <c r="C141" s="3"/>
      <c r="D141" s="3"/>
      <c r="E141" s="3"/>
      <c r="F141" s="3"/>
      <c r="G141" s="3"/>
      <c r="H141" s="21"/>
      <c r="I141" s="3"/>
      <c r="J141" s="3"/>
      <c r="K141" s="24"/>
      <c r="L141" s="24"/>
      <c r="M141" s="24"/>
      <c r="N141" s="24"/>
      <c r="O141" s="24"/>
      <c r="P141" s="24"/>
      <c r="R141" s="3"/>
      <c r="S141" s="3"/>
      <c r="T141" s="3"/>
      <c r="U141" s="3"/>
      <c r="V141" s="3"/>
    </row>
    <row r="142" spans="1:22">
      <c r="A142" s="2"/>
      <c r="B142" s="3"/>
      <c r="C142" s="3"/>
      <c r="D142" s="3"/>
      <c r="E142" s="3"/>
      <c r="F142" s="3"/>
      <c r="G142" s="3"/>
      <c r="H142" s="21"/>
      <c r="I142" s="3"/>
      <c r="J142" s="3"/>
      <c r="K142" s="24"/>
      <c r="L142" s="24"/>
      <c r="M142" s="24"/>
      <c r="N142" s="24"/>
      <c r="O142" s="24"/>
      <c r="P142" s="24"/>
      <c r="R142" s="3"/>
      <c r="S142" s="3"/>
      <c r="T142" s="3"/>
      <c r="U142" s="3"/>
      <c r="V142" s="3"/>
    </row>
    <row r="143" spans="1:22">
      <c r="A143" s="2"/>
      <c r="B143" s="3"/>
      <c r="C143" s="3"/>
      <c r="D143" s="3"/>
      <c r="E143" s="3"/>
      <c r="F143" s="3"/>
      <c r="G143" s="3"/>
      <c r="H143" s="21"/>
      <c r="I143" s="3"/>
      <c r="J143" s="3"/>
      <c r="K143" s="24"/>
      <c r="L143" s="24"/>
      <c r="M143" s="24"/>
      <c r="N143" s="24"/>
      <c r="O143" s="24"/>
      <c r="P143" s="24"/>
      <c r="R143" s="3"/>
      <c r="S143" s="3"/>
      <c r="T143" s="3"/>
      <c r="U143" s="3"/>
      <c r="V143" s="3"/>
    </row>
    <row r="144" spans="1:22">
      <c r="A144" s="2"/>
      <c r="B144" s="3"/>
      <c r="C144" s="3"/>
      <c r="D144" s="3"/>
      <c r="E144" s="3"/>
      <c r="F144" s="3"/>
      <c r="G144" s="3"/>
      <c r="H144" s="21"/>
      <c r="I144" s="3"/>
      <c r="J144" s="3"/>
      <c r="K144" s="24"/>
      <c r="L144" s="24"/>
      <c r="M144" s="24"/>
      <c r="N144" s="24"/>
      <c r="O144" s="24"/>
      <c r="P144" s="24"/>
      <c r="R144" s="3"/>
      <c r="S144" s="3"/>
      <c r="T144" s="3"/>
      <c r="U144" s="3"/>
      <c r="V144" s="3"/>
    </row>
    <row r="145" spans="1:22">
      <c r="A145" s="2"/>
      <c r="B145" s="3"/>
      <c r="C145" s="3"/>
      <c r="D145" s="3"/>
      <c r="E145" s="3"/>
      <c r="F145" s="3"/>
      <c r="G145" s="3"/>
      <c r="H145" s="21"/>
      <c r="I145" s="3"/>
      <c r="J145" s="3"/>
      <c r="K145" s="24"/>
      <c r="L145" s="24"/>
      <c r="M145" s="24"/>
      <c r="N145" s="24"/>
      <c r="O145" s="24"/>
      <c r="P145" s="24"/>
      <c r="R145" s="3"/>
      <c r="S145" s="3"/>
      <c r="T145" s="3"/>
      <c r="U145" s="3"/>
      <c r="V145" s="3"/>
    </row>
    <row r="146" spans="1:22">
      <c r="A146" s="2"/>
      <c r="B146" s="3"/>
      <c r="C146" s="3"/>
      <c r="D146" s="3"/>
      <c r="E146" s="3"/>
      <c r="F146" s="3"/>
      <c r="G146" s="3"/>
      <c r="H146" s="21"/>
      <c r="I146" s="3"/>
      <c r="J146" s="3"/>
      <c r="K146" s="24"/>
      <c r="L146" s="24"/>
      <c r="M146" s="24"/>
      <c r="N146" s="24"/>
      <c r="O146" s="24"/>
      <c r="P146" s="24"/>
      <c r="R146" s="3"/>
      <c r="S146" s="3"/>
      <c r="T146" s="3"/>
      <c r="U146" s="3"/>
      <c r="V146" s="3"/>
    </row>
    <row r="147" spans="1:22">
      <c r="A147" s="2"/>
      <c r="B147" s="3"/>
      <c r="C147" s="3"/>
      <c r="D147" s="3"/>
      <c r="E147" s="3"/>
      <c r="F147" s="3"/>
      <c r="G147" s="3"/>
      <c r="H147" s="21"/>
      <c r="I147" s="3"/>
      <c r="J147" s="3"/>
      <c r="K147" s="24"/>
      <c r="L147" s="24"/>
      <c r="M147" s="24"/>
      <c r="N147" s="24"/>
      <c r="O147" s="24"/>
      <c r="P147" s="24"/>
      <c r="R147" s="3"/>
      <c r="S147" s="3"/>
      <c r="T147" s="3"/>
      <c r="U147" s="3"/>
      <c r="V147" s="3"/>
    </row>
    <row r="148" spans="1:22">
      <c r="A148" s="2"/>
      <c r="B148" s="3"/>
      <c r="C148" s="3"/>
      <c r="D148" s="3"/>
      <c r="E148" s="3"/>
      <c r="F148" s="3"/>
      <c r="G148" s="3"/>
      <c r="H148" s="21"/>
      <c r="I148" s="3"/>
      <c r="J148" s="3"/>
      <c r="K148" s="24"/>
      <c r="L148" s="24"/>
      <c r="M148" s="24"/>
      <c r="N148" s="24"/>
      <c r="O148" s="24"/>
      <c r="P148" s="24"/>
      <c r="R148" s="3"/>
      <c r="S148" s="3"/>
      <c r="T148" s="3"/>
      <c r="U148" s="3"/>
      <c r="V148" s="3"/>
    </row>
    <row r="149" spans="1:22">
      <c r="A149" s="2"/>
      <c r="B149" s="3"/>
      <c r="C149" s="3"/>
      <c r="D149" s="3"/>
      <c r="E149" s="3"/>
      <c r="F149" s="3"/>
      <c r="G149" s="3"/>
      <c r="H149" s="21"/>
      <c r="I149" s="3"/>
      <c r="J149" s="3"/>
      <c r="K149" s="24"/>
      <c r="L149" s="24"/>
      <c r="M149" s="24"/>
      <c r="N149" s="24"/>
      <c r="O149" s="24"/>
      <c r="P149" s="24"/>
      <c r="R149" s="3"/>
      <c r="S149" s="3"/>
      <c r="T149" s="3"/>
      <c r="U149" s="3"/>
      <c r="V149" s="3"/>
    </row>
    <row r="150" spans="1:22">
      <c r="A150" s="2"/>
      <c r="B150" s="3"/>
      <c r="C150" s="3"/>
      <c r="D150" s="3"/>
      <c r="E150" s="3"/>
      <c r="F150" s="3"/>
      <c r="G150" s="3"/>
      <c r="H150" s="21"/>
      <c r="I150" s="3"/>
      <c r="J150" s="3"/>
      <c r="K150" s="24"/>
      <c r="L150" s="24"/>
      <c r="M150" s="24"/>
      <c r="N150" s="24"/>
      <c r="O150" s="24"/>
      <c r="P150" s="24"/>
      <c r="R150" s="3"/>
      <c r="S150" s="3"/>
      <c r="T150" s="3"/>
      <c r="U150" s="3"/>
      <c r="V150" s="3"/>
    </row>
    <row r="151" spans="1:22">
      <c r="A151" s="2"/>
      <c r="B151" s="3"/>
      <c r="C151" s="3"/>
      <c r="D151" s="3"/>
      <c r="E151" s="3"/>
      <c r="F151" s="3"/>
      <c r="G151" s="3"/>
      <c r="H151" s="21"/>
      <c r="I151" s="3"/>
      <c r="J151" s="3"/>
      <c r="K151" s="24"/>
      <c r="L151" s="24"/>
      <c r="M151" s="24"/>
      <c r="N151" s="24"/>
      <c r="O151" s="24"/>
      <c r="P151" s="24"/>
      <c r="R151" s="3"/>
      <c r="S151" s="3"/>
      <c r="T151" s="3"/>
      <c r="U151" s="3"/>
      <c r="V151" s="3"/>
    </row>
    <row r="152" spans="1:22">
      <c r="A152" s="2"/>
      <c r="B152" s="3"/>
      <c r="C152" s="3"/>
      <c r="D152" s="3"/>
      <c r="E152" s="3"/>
      <c r="F152" s="3"/>
      <c r="G152" s="3"/>
      <c r="H152" s="21"/>
      <c r="I152" s="3"/>
      <c r="J152" s="3"/>
      <c r="K152" s="24"/>
      <c r="L152" s="24"/>
      <c r="M152" s="24"/>
      <c r="N152" s="24"/>
      <c r="O152" s="24"/>
      <c r="P152" s="24"/>
      <c r="R152" s="3"/>
      <c r="S152" s="3"/>
      <c r="T152" s="3"/>
      <c r="U152" s="3"/>
      <c r="V152" s="3"/>
    </row>
    <row r="153" spans="1:22">
      <c r="A153" s="2"/>
      <c r="B153" s="3"/>
      <c r="C153" s="3"/>
      <c r="D153" s="3"/>
      <c r="E153" s="3"/>
      <c r="F153" s="3"/>
      <c r="G153" s="3"/>
      <c r="H153" s="21"/>
      <c r="I153" s="3"/>
      <c r="J153" s="3"/>
      <c r="K153" s="24"/>
      <c r="L153" s="24"/>
      <c r="M153" s="24"/>
      <c r="N153" s="24"/>
      <c r="O153" s="24"/>
      <c r="P153" s="24"/>
      <c r="R153" s="3"/>
      <c r="S153" s="3"/>
      <c r="T153" s="3"/>
      <c r="U153" s="3"/>
      <c r="V153" s="3"/>
    </row>
    <row r="154" spans="1:22">
      <c r="A154" s="2"/>
      <c r="B154" s="3"/>
      <c r="C154" s="3"/>
      <c r="D154" s="3"/>
      <c r="E154" s="3"/>
      <c r="F154" s="3"/>
      <c r="G154" s="3"/>
      <c r="H154" s="21"/>
      <c r="I154" s="3"/>
      <c r="J154" s="3"/>
      <c r="K154" s="24"/>
      <c r="L154" s="24"/>
      <c r="M154" s="24"/>
      <c r="N154" s="24"/>
      <c r="O154" s="24"/>
      <c r="P154" s="24"/>
      <c r="R154" s="3"/>
      <c r="S154" s="3"/>
      <c r="T154" s="3"/>
      <c r="U154" s="3"/>
      <c r="V154" s="3"/>
    </row>
    <row r="155" spans="1:22">
      <c r="A155" s="2"/>
      <c r="B155" s="3"/>
      <c r="C155" s="3"/>
      <c r="D155" s="3"/>
      <c r="E155" s="3"/>
      <c r="F155" s="3"/>
      <c r="G155" s="3"/>
      <c r="H155" s="21"/>
      <c r="I155" s="3"/>
      <c r="J155" s="3"/>
      <c r="K155" s="24"/>
      <c r="L155" s="24"/>
      <c r="M155" s="24"/>
      <c r="N155" s="24"/>
      <c r="O155" s="24"/>
      <c r="P155" s="24"/>
      <c r="R155" s="3"/>
      <c r="S155" s="3"/>
      <c r="T155" s="3"/>
      <c r="U155" s="3"/>
      <c r="V155" s="3"/>
    </row>
    <row r="156" spans="1:22">
      <c r="A156" s="2"/>
      <c r="B156" s="3"/>
      <c r="C156" s="3"/>
      <c r="D156" s="3"/>
      <c r="E156" s="3"/>
      <c r="F156" s="3"/>
      <c r="G156" s="3"/>
      <c r="H156" s="21"/>
      <c r="I156" s="3"/>
      <c r="J156" s="3"/>
      <c r="K156" s="24"/>
      <c r="L156" s="24"/>
      <c r="M156" s="24"/>
      <c r="N156" s="24"/>
      <c r="O156" s="24"/>
      <c r="P156" s="24"/>
      <c r="R156" s="3"/>
      <c r="S156" s="3"/>
      <c r="T156" s="3"/>
      <c r="U156" s="3"/>
      <c r="V156" s="3"/>
    </row>
    <row r="157" spans="1:22">
      <c r="A157" s="2"/>
      <c r="B157" s="3"/>
      <c r="C157" s="3"/>
      <c r="D157" s="3"/>
      <c r="E157" s="3"/>
      <c r="F157" s="3"/>
      <c r="G157" s="3"/>
      <c r="H157" s="21"/>
      <c r="I157" s="3"/>
      <c r="J157" s="3"/>
      <c r="K157" s="24"/>
      <c r="L157" s="24"/>
      <c r="M157" s="24"/>
      <c r="N157" s="24"/>
      <c r="O157" s="24"/>
      <c r="P157" s="24"/>
      <c r="R157" s="3"/>
      <c r="S157" s="3"/>
      <c r="T157" s="3"/>
      <c r="U157" s="3"/>
      <c r="V157" s="3"/>
    </row>
    <row r="158" spans="1:22">
      <c r="A158" s="2"/>
      <c r="B158" s="3"/>
      <c r="C158" s="3"/>
      <c r="D158" s="3"/>
      <c r="E158" s="3"/>
      <c r="F158" s="3"/>
      <c r="G158" s="3"/>
      <c r="H158" s="21"/>
      <c r="I158" s="3"/>
      <c r="J158" s="3"/>
      <c r="K158" s="24"/>
      <c r="L158" s="24"/>
      <c r="M158" s="24"/>
      <c r="N158" s="24"/>
      <c r="O158" s="24"/>
      <c r="P158" s="24"/>
      <c r="R158" s="3"/>
      <c r="S158" s="3"/>
      <c r="T158" s="3"/>
      <c r="U158" s="3"/>
      <c r="V158" s="3"/>
    </row>
    <row r="159" spans="1:22">
      <c r="A159" s="2"/>
      <c r="B159" s="3"/>
      <c r="C159" s="3"/>
      <c r="D159" s="3"/>
      <c r="E159" s="3"/>
      <c r="F159" s="3"/>
      <c r="G159" s="3"/>
      <c r="H159" s="21"/>
      <c r="I159" s="3"/>
      <c r="J159" s="3"/>
      <c r="K159" s="24"/>
      <c r="L159" s="24"/>
      <c r="M159" s="24"/>
      <c r="N159" s="24"/>
      <c r="O159" s="24"/>
      <c r="P159" s="24"/>
      <c r="R159" s="3"/>
      <c r="S159" s="3"/>
      <c r="T159" s="3"/>
      <c r="U159" s="3"/>
      <c r="V159" s="3"/>
    </row>
    <row r="160" spans="1:22">
      <c r="A160" s="2"/>
      <c r="B160" s="3"/>
      <c r="C160" s="3"/>
      <c r="D160" s="3"/>
      <c r="E160" s="3"/>
      <c r="F160" s="3"/>
      <c r="G160" s="3"/>
      <c r="H160" s="21"/>
      <c r="I160" s="3"/>
      <c r="J160" s="3"/>
      <c r="K160" s="24"/>
      <c r="L160" s="24"/>
      <c r="M160" s="24"/>
      <c r="N160" s="24"/>
      <c r="O160" s="24"/>
      <c r="P160" s="24"/>
      <c r="R160" s="3"/>
      <c r="S160" s="3"/>
      <c r="T160" s="3"/>
      <c r="U160" s="3"/>
      <c r="V160" s="3"/>
    </row>
    <row r="161" spans="1:22">
      <c r="A161" s="2"/>
      <c r="B161" s="3"/>
      <c r="C161" s="3"/>
      <c r="D161" s="3"/>
      <c r="E161" s="3"/>
      <c r="F161" s="3"/>
      <c r="G161" s="3"/>
      <c r="H161" s="21"/>
      <c r="I161" s="3"/>
      <c r="J161" s="3"/>
      <c r="K161" s="24"/>
      <c r="L161" s="24"/>
      <c r="M161" s="24"/>
      <c r="N161" s="24"/>
      <c r="O161" s="24"/>
      <c r="P161" s="24"/>
      <c r="R161" s="3"/>
      <c r="S161" s="3"/>
      <c r="T161" s="3"/>
      <c r="U161" s="3"/>
      <c r="V161" s="3"/>
    </row>
    <row r="162" spans="1:22">
      <c r="A162" s="2"/>
      <c r="B162" s="3"/>
      <c r="C162" s="3"/>
      <c r="D162" s="3"/>
      <c r="E162" s="3"/>
      <c r="F162" s="3"/>
      <c r="G162" s="3"/>
      <c r="H162" s="21"/>
      <c r="I162" s="3"/>
      <c r="J162" s="3"/>
      <c r="K162" s="24"/>
      <c r="L162" s="24"/>
      <c r="M162" s="24"/>
      <c r="N162" s="24"/>
      <c r="O162" s="24"/>
      <c r="P162" s="24"/>
      <c r="R162" s="3"/>
      <c r="S162" s="3"/>
      <c r="T162" s="3"/>
      <c r="U162" s="3"/>
      <c r="V162" s="3"/>
    </row>
    <row r="163" spans="1:22">
      <c r="A163" s="2"/>
      <c r="B163" s="3"/>
      <c r="C163" s="3"/>
      <c r="D163" s="3"/>
      <c r="E163" s="3"/>
      <c r="F163" s="3"/>
      <c r="G163" s="3"/>
      <c r="H163" s="21"/>
      <c r="I163" s="3"/>
      <c r="J163" s="3"/>
      <c r="K163" s="24"/>
      <c r="L163" s="24"/>
      <c r="M163" s="24"/>
      <c r="N163" s="24"/>
      <c r="O163" s="24"/>
      <c r="P163" s="24"/>
      <c r="R163" s="3"/>
      <c r="S163" s="3"/>
      <c r="T163" s="3"/>
      <c r="U163" s="3"/>
      <c r="V163" s="3"/>
    </row>
    <row r="164" spans="1:22">
      <c r="A164" s="2"/>
      <c r="B164" s="3"/>
      <c r="C164" s="3"/>
      <c r="D164" s="3"/>
      <c r="E164" s="3"/>
      <c r="F164" s="3"/>
      <c r="G164" s="3"/>
      <c r="H164" s="21"/>
      <c r="I164" s="3"/>
      <c r="J164" s="3"/>
      <c r="K164" s="24"/>
      <c r="L164" s="24"/>
      <c r="M164" s="24"/>
      <c r="N164" s="24"/>
      <c r="O164" s="24"/>
      <c r="P164" s="24"/>
      <c r="R164" s="3"/>
      <c r="S164" s="3"/>
      <c r="T164" s="3"/>
      <c r="U164" s="3"/>
      <c r="V164" s="3"/>
    </row>
    <row r="165" spans="1:22">
      <c r="A165" s="2"/>
      <c r="B165" s="3"/>
      <c r="C165" s="3"/>
      <c r="D165" s="3"/>
      <c r="E165" s="3"/>
      <c r="F165" s="3"/>
      <c r="G165" s="3"/>
      <c r="H165" s="21"/>
      <c r="I165" s="3"/>
      <c r="J165" s="3"/>
      <c r="K165" s="24"/>
      <c r="L165" s="24"/>
      <c r="M165" s="24"/>
      <c r="N165" s="24"/>
      <c r="O165" s="24"/>
      <c r="P165" s="24"/>
      <c r="R165" s="3"/>
      <c r="S165" s="3"/>
      <c r="T165" s="3"/>
      <c r="U165" s="3"/>
      <c r="V165" s="3"/>
    </row>
    <row r="166" spans="1:22">
      <c r="A166" s="2"/>
      <c r="B166" s="3"/>
      <c r="C166" s="3"/>
      <c r="D166" s="3"/>
      <c r="E166" s="3"/>
      <c r="F166" s="3"/>
      <c r="G166" s="3"/>
      <c r="H166" s="21"/>
      <c r="I166" s="3"/>
      <c r="J166" s="3"/>
      <c r="K166" s="24"/>
      <c r="L166" s="24"/>
      <c r="M166" s="24"/>
      <c r="N166" s="24"/>
      <c r="O166" s="24"/>
      <c r="P166" s="24"/>
      <c r="R166" s="3"/>
      <c r="S166" s="3"/>
      <c r="T166" s="3"/>
      <c r="U166" s="3"/>
      <c r="V166" s="3"/>
    </row>
    <row r="167" spans="1:22">
      <c r="A167" s="2"/>
      <c r="B167" s="3"/>
      <c r="C167" s="3"/>
      <c r="D167" s="3"/>
      <c r="E167" s="3"/>
      <c r="F167" s="3"/>
      <c r="G167" s="3"/>
      <c r="H167" s="21"/>
      <c r="I167" s="3"/>
      <c r="J167" s="3"/>
      <c r="K167" s="24"/>
      <c r="L167" s="24"/>
      <c r="M167" s="24"/>
      <c r="N167" s="24"/>
      <c r="O167" s="24"/>
      <c r="P167" s="24"/>
      <c r="R167" s="3"/>
      <c r="S167" s="3"/>
      <c r="T167" s="3"/>
      <c r="U167" s="3"/>
      <c r="V167" s="3"/>
    </row>
    <row r="168" spans="1:22">
      <c r="A168" s="2"/>
      <c r="B168" s="3"/>
      <c r="C168" s="3"/>
      <c r="D168" s="3"/>
      <c r="E168" s="3"/>
      <c r="F168" s="3"/>
      <c r="G168" s="3"/>
      <c r="H168" s="21"/>
      <c r="I168" s="3"/>
      <c r="J168" s="3"/>
      <c r="K168" s="24"/>
      <c r="L168" s="24"/>
      <c r="M168" s="24"/>
      <c r="N168" s="24"/>
      <c r="O168" s="24"/>
      <c r="P168" s="24"/>
      <c r="R168" s="3"/>
      <c r="S168" s="3"/>
      <c r="T168" s="3"/>
      <c r="U168" s="3"/>
      <c r="V168" s="3"/>
    </row>
    <row r="169" spans="1:22">
      <c r="A169" s="2"/>
      <c r="B169" s="3"/>
      <c r="C169" s="3"/>
      <c r="D169" s="3"/>
      <c r="E169" s="3"/>
      <c r="F169" s="3"/>
      <c r="G169" s="3"/>
      <c r="H169" s="21"/>
      <c r="I169" s="3"/>
      <c r="J169" s="3"/>
      <c r="K169" s="24"/>
      <c r="L169" s="24"/>
      <c r="M169" s="24"/>
      <c r="N169" s="24"/>
      <c r="O169" s="24"/>
      <c r="P169" s="24"/>
      <c r="R169" s="3"/>
      <c r="S169" s="3"/>
      <c r="T169" s="3"/>
      <c r="U169" s="3"/>
      <c r="V169" s="3"/>
    </row>
    <row r="170" spans="1:22">
      <c r="A170" s="2"/>
      <c r="B170" s="3"/>
      <c r="C170" s="3"/>
      <c r="D170" s="3"/>
      <c r="E170" s="3"/>
      <c r="F170" s="3"/>
      <c r="G170" s="3"/>
      <c r="H170" s="21"/>
      <c r="I170" s="3"/>
      <c r="J170" s="3"/>
      <c r="K170" s="24"/>
      <c r="L170" s="24"/>
      <c r="M170" s="24"/>
      <c r="N170" s="24"/>
      <c r="O170" s="24"/>
      <c r="P170" s="24"/>
      <c r="R170" s="3"/>
      <c r="S170" s="3"/>
      <c r="T170" s="3"/>
      <c r="U170" s="3"/>
      <c r="V170" s="3"/>
    </row>
    <row r="171" spans="1:22">
      <c r="A171" s="2"/>
      <c r="B171" s="3"/>
      <c r="C171" s="3"/>
      <c r="D171" s="3"/>
      <c r="E171" s="3"/>
      <c r="F171" s="3"/>
      <c r="G171" s="3"/>
      <c r="H171" s="21"/>
      <c r="I171" s="3"/>
      <c r="J171" s="3"/>
      <c r="K171" s="24"/>
      <c r="L171" s="24"/>
      <c r="M171" s="24"/>
      <c r="N171" s="24"/>
      <c r="O171" s="24"/>
      <c r="P171" s="24"/>
      <c r="R171" s="3"/>
      <c r="S171" s="3"/>
      <c r="T171" s="3"/>
      <c r="U171" s="3"/>
      <c r="V171" s="3"/>
    </row>
    <row r="172" spans="1:22">
      <c r="A172" s="2"/>
      <c r="B172" s="3"/>
      <c r="C172" s="3"/>
      <c r="D172" s="3"/>
      <c r="E172" s="3"/>
      <c r="F172" s="3"/>
      <c r="G172" s="3"/>
      <c r="H172" s="21"/>
      <c r="I172" s="3"/>
      <c r="J172" s="3"/>
      <c r="K172" s="24"/>
      <c r="L172" s="24"/>
      <c r="M172" s="24"/>
      <c r="N172" s="24"/>
      <c r="O172" s="24"/>
      <c r="P172" s="24"/>
      <c r="R172" s="3"/>
      <c r="S172" s="3"/>
      <c r="T172" s="3"/>
      <c r="U172" s="3"/>
      <c r="V172" s="3"/>
    </row>
    <row r="173" spans="1:22">
      <c r="A173" s="2"/>
      <c r="B173" s="3"/>
      <c r="C173" s="3"/>
      <c r="D173" s="3"/>
      <c r="E173" s="3"/>
      <c r="F173" s="3"/>
      <c r="G173" s="3"/>
      <c r="H173" s="21"/>
      <c r="I173" s="3"/>
      <c r="J173" s="3"/>
      <c r="K173" s="24"/>
      <c r="L173" s="24"/>
      <c r="M173" s="24"/>
      <c r="N173" s="24"/>
      <c r="O173" s="24"/>
      <c r="P173" s="24"/>
      <c r="R173" s="3"/>
      <c r="S173" s="3"/>
      <c r="T173" s="3"/>
      <c r="U173" s="3"/>
      <c r="V173" s="3"/>
    </row>
    <row r="174" spans="1:22">
      <c r="A174" s="2"/>
      <c r="B174" s="3"/>
      <c r="C174" s="3"/>
      <c r="D174" s="3"/>
      <c r="E174" s="3"/>
      <c r="F174" s="3"/>
      <c r="G174" s="3"/>
      <c r="H174" s="21"/>
      <c r="I174" s="3"/>
      <c r="J174" s="3"/>
      <c r="K174" s="24"/>
      <c r="L174" s="24"/>
      <c r="M174" s="24"/>
      <c r="N174" s="24"/>
      <c r="O174" s="24"/>
      <c r="P174" s="24"/>
      <c r="R174" s="3"/>
      <c r="S174" s="3"/>
      <c r="T174" s="3"/>
      <c r="U174" s="3"/>
      <c r="V174" s="3"/>
    </row>
    <row r="175" spans="1:22">
      <c r="A175" s="2"/>
      <c r="B175" s="3"/>
      <c r="C175" s="3"/>
      <c r="D175" s="3"/>
      <c r="E175" s="3"/>
      <c r="F175" s="3"/>
      <c r="G175" s="3"/>
      <c r="H175" s="21"/>
      <c r="I175" s="3"/>
      <c r="J175" s="3"/>
      <c r="K175" s="24"/>
      <c r="L175" s="24"/>
      <c r="M175" s="24"/>
      <c r="N175" s="24"/>
      <c r="O175" s="24"/>
      <c r="P175" s="24"/>
      <c r="R175" s="3"/>
      <c r="S175" s="3"/>
      <c r="T175" s="3"/>
      <c r="U175" s="3"/>
      <c r="V175" s="3"/>
    </row>
    <row r="176" spans="1:22">
      <c r="A176" s="2"/>
      <c r="B176" s="3"/>
      <c r="C176" s="3"/>
      <c r="D176" s="3"/>
      <c r="E176" s="3"/>
      <c r="F176" s="3"/>
      <c r="G176" s="3"/>
      <c r="H176" s="21"/>
      <c r="I176" s="3"/>
      <c r="J176" s="3"/>
      <c r="K176" s="24"/>
      <c r="L176" s="24"/>
      <c r="M176" s="24"/>
      <c r="N176" s="24"/>
      <c r="O176" s="24"/>
      <c r="P176" s="24"/>
      <c r="R176" s="3"/>
      <c r="S176" s="3"/>
      <c r="T176" s="3"/>
      <c r="U176" s="3"/>
      <c r="V176" s="3"/>
    </row>
    <row r="177" spans="1:22">
      <c r="A177" s="2"/>
      <c r="B177" s="3"/>
      <c r="C177" s="3"/>
      <c r="D177" s="3"/>
      <c r="E177" s="3"/>
      <c r="F177" s="3"/>
      <c r="G177" s="3"/>
      <c r="H177" s="21"/>
      <c r="I177" s="3"/>
      <c r="J177" s="3"/>
      <c r="K177" s="24"/>
      <c r="L177" s="24"/>
      <c r="M177" s="24"/>
      <c r="N177" s="24"/>
      <c r="O177" s="24"/>
      <c r="P177" s="24"/>
      <c r="R177" s="3"/>
      <c r="S177" s="3"/>
      <c r="T177" s="3"/>
      <c r="U177" s="3"/>
      <c r="V177" s="3"/>
    </row>
    <row r="178" spans="1:22">
      <c r="A178" s="2"/>
      <c r="B178" s="3"/>
      <c r="C178" s="3"/>
      <c r="D178" s="3"/>
      <c r="E178" s="3"/>
      <c r="F178" s="3"/>
      <c r="G178" s="3"/>
      <c r="H178" s="21"/>
      <c r="I178" s="3"/>
      <c r="J178" s="3"/>
      <c r="K178" s="24"/>
      <c r="L178" s="24"/>
      <c r="M178" s="24"/>
      <c r="N178" s="24"/>
      <c r="O178" s="24"/>
      <c r="P178" s="24"/>
      <c r="R178" s="3"/>
      <c r="S178" s="3"/>
      <c r="T178" s="3"/>
      <c r="U178" s="3"/>
      <c r="V178" s="3"/>
    </row>
    <row r="179" spans="1:22">
      <c r="A179" s="2"/>
      <c r="B179" s="3"/>
      <c r="C179" s="3"/>
      <c r="D179" s="3"/>
      <c r="E179" s="3"/>
      <c r="F179" s="3"/>
      <c r="G179" s="3"/>
      <c r="H179" s="21"/>
      <c r="I179" s="3"/>
      <c r="J179" s="3"/>
      <c r="K179" s="24"/>
      <c r="L179" s="24"/>
      <c r="M179" s="24"/>
      <c r="N179" s="24"/>
      <c r="O179" s="24"/>
      <c r="P179" s="24"/>
      <c r="R179" s="3"/>
      <c r="S179" s="3"/>
      <c r="T179" s="3"/>
      <c r="U179" s="3"/>
      <c r="V179" s="3"/>
    </row>
    <row r="180" spans="1:22">
      <c r="A180" s="2"/>
      <c r="B180" s="3"/>
      <c r="C180" s="3"/>
      <c r="D180" s="3"/>
      <c r="E180" s="3"/>
      <c r="F180" s="3"/>
      <c r="G180" s="3"/>
      <c r="H180" s="21"/>
      <c r="I180" s="3"/>
      <c r="J180" s="3"/>
      <c r="K180" s="24"/>
      <c r="L180" s="24"/>
      <c r="M180" s="24"/>
      <c r="N180" s="24"/>
      <c r="O180" s="24"/>
      <c r="P180" s="24"/>
      <c r="R180" s="3"/>
      <c r="S180" s="3"/>
      <c r="T180" s="3"/>
      <c r="U180" s="3"/>
      <c r="V180" s="3"/>
    </row>
    <row r="181" spans="1:22">
      <c r="A181" s="2"/>
      <c r="B181" s="3"/>
      <c r="C181" s="3"/>
      <c r="D181" s="3"/>
      <c r="E181" s="3"/>
      <c r="F181" s="3"/>
      <c r="G181" s="3"/>
      <c r="H181" s="21"/>
      <c r="I181" s="3"/>
      <c r="J181" s="3"/>
      <c r="K181" s="24"/>
      <c r="L181" s="24"/>
      <c r="M181" s="24"/>
      <c r="N181" s="24"/>
      <c r="O181" s="24"/>
      <c r="P181" s="24"/>
      <c r="R181" s="3"/>
      <c r="S181" s="3"/>
      <c r="T181" s="3"/>
      <c r="U181" s="3"/>
      <c r="V181" s="3"/>
    </row>
    <row r="182" spans="1:22">
      <c r="A182" s="2"/>
      <c r="B182" s="3"/>
      <c r="C182" s="3"/>
      <c r="D182" s="3"/>
      <c r="E182" s="3"/>
      <c r="F182" s="3"/>
      <c r="G182" s="3"/>
      <c r="H182" s="21"/>
      <c r="I182" s="3"/>
      <c r="J182" s="3"/>
      <c r="K182" s="24"/>
      <c r="L182" s="24"/>
      <c r="M182" s="24"/>
      <c r="N182" s="24"/>
      <c r="O182" s="24"/>
      <c r="P182" s="24"/>
      <c r="R182" s="3"/>
      <c r="S182" s="3"/>
      <c r="T182" s="3"/>
      <c r="U182" s="3"/>
      <c r="V182" s="3"/>
    </row>
    <row r="183" spans="1:22">
      <c r="A183" s="2"/>
      <c r="B183" s="3"/>
      <c r="C183" s="3"/>
      <c r="D183" s="3"/>
      <c r="E183" s="3"/>
      <c r="F183" s="3"/>
      <c r="G183" s="3"/>
      <c r="H183" s="21"/>
      <c r="I183" s="3"/>
      <c r="J183" s="3"/>
      <c r="K183" s="24"/>
      <c r="L183" s="24"/>
      <c r="M183" s="24"/>
      <c r="N183" s="24"/>
      <c r="O183" s="24"/>
      <c r="P183" s="24"/>
      <c r="R183" s="3"/>
      <c r="S183" s="3"/>
      <c r="T183" s="3"/>
      <c r="U183" s="3"/>
      <c r="V183" s="3"/>
    </row>
    <row r="184" spans="1:22">
      <c r="A184" s="2"/>
      <c r="B184" s="3"/>
      <c r="C184" s="3"/>
      <c r="D184" s="3"/>
      <c r="E184" s="3"/>
      <c r="F184" s="3"/>
      <c r="G184" s="3"/>
      <c r="H184" s="21"/>
      <c r="I184" s="3"/>
      <c r="J184" s="3"/>
      <c r="K184" s="24"/>
      <c r="L184" s="24"/>
      <c r="M184" s="24"/>
      <c r="N184" s="24"/>
      <c r="O184" s="24"/>
      <c r="P184" s="24"/>
      <c r="R184" s="3"/>
      <c r="S184" s="3"/>
      <c r="T184" s="3"/>
      <c r="U184" s="3"/>
      <c r="V184" s="3"/>
    </row>
    <row r="185" spans="1:22">
      <c r="A185" s="2"/>
      <c r="B185" s="3"/>
      <c r="C185" s="3"/>
      <c r="D185" s="3"/>
      <c r="E185" s="3"/>
      <c r="F185" s="3"/>
      <c r="G185" s="3"/>
      <c r="H185" s="21"/>
      <c r="I185" s="3"/>
      <c r="J185" s="3"/>
      <c r="K185" s="24"/>
      <c r="L185" s="24"/>
      <c r="M185" s="24"/>
      <c r="N185" s="24"/>
      <c r="O185" s="24"/>
      <c r="P185" s="24"/>
      <c r="R185" s="3"/>
      <c r="S185" s="3"/>
      <c r="T185" s="3"/>
      <c r="U185" s="3"/>
      <c r="V185" s="3"/>
    </row>
    <row r="186" spans="1:22">
      <c r="A186" s="2"/>
      <c r="B186" s="3"/>
      <c r="C186" s="3"/>
      <c r="D186" s="3"/>
      <c r="E186" s="3"/>
      <c r="F186" s="3"/>
      <c r="G186" s="3"/>
      <c r="H186" s="21"/>
      <c r="I186" s="3"/>
      <c r="J186" s="3"/>
      <c r="K186" s="24"/>
      <c r="L186" s="24"/>
      <c r="M186" s="24"/>
      <c r="N186" s="24"/>
      <c r="O186" s="24"/>
      <c r="P186" s="24"/>
      <c r="R186" s="3"/>
      <c r="S186" s="3"/>
      <c r="T186" s="3"/>
      <c r="U186" s="3"/>
      <c r="V186" s="3"/>
    </row>
    <row r="187" spans="1:22">
      <c r="A187" s="2"/>
      <c r="B187" s="3"/>
      <c r="C187" s="3"/>
      <c r="D187" s="3"/>
      <c r="E187" s="3"/>
      <c r="F187" s="3"/>
      <c r="G187" s="3"/>
      <c r="H187" s="21"/>
      <c r="I187" s="3"/>
      <c r="J187" s="3"/>
      <c r="K187" s="24"/>
      <c r="L187" s="24"/>
      <c r="M187" s="24"/>
      <c r="N187" s="24"/>
      <c r="O187" s="24"/>
      <c r="P187" s="24"/>
      <c r="R187" s="3"/>
      <c r="S187" s="3"/>
      <c r="T187" s="3"/>
      <c r="U187" s="3"/>
      <c r="V187" s="3"/>
    </row>
    <row r="188" spans="1:22">
      <c r="A188" s="2"/>
      <c r="B188" s="3"/>
      <c r="C188" s="3"/>
      <c r="D188" s="3"/>
      <c r="E188" s="3"/>
      <c r="F188" s="3"/>
      <c r="G188" s="3"/>
      <c r="H188" s="21"/>
      <c r="I188" s="3"/>
      <c r="J188" s="3"/>
      <c r="K188" s="24"/>
      <c r="L188" s="24"/>
      <c r="M188" s="24"/>
      <c r="N188" s="24"/>
      <c r="O188" s="24"/>
      <c r="P188" s="24"/>
      <c r="R188" s="3"/>
      <c r="S188" s="3"/>
      <c r="T188" s="3"/>
      <c r="U188" s="3"/>
      <c r="V188" s="3"/>
    </row>
    <row r="189" spans="1:22">
      <c r="A189" s="2"/>
      <c r="B189" s="3"/>
      <c r="C189" s="3"/>
      <c r="D189" s="3"/>
      <c r="E189" s="3"/>
      <c r="F189" s="3"/>
      <c r="G189" s="3"/>
      <c r="H189" s="21"/>
      <c r="I189" s="3"/>
      <c r="J189" s="3"/>
      <c r="K189" s="24"/>
      <c r="L189" s="24"/>
      <c r="M189" s="24"/>
      <c r="N189" s="24"/>
      <c r="O189" s="24"/>
      <c r="P189" s="24"/>
      <c r="R189" s="3"/>
      <c r="S189" s="3"/>
      <c r="T189" s="3"/>
      <c r="U189" s="3"/>
      <c r="V189" s="3"/>
    </row>
    <row r="190" spans="1:22">
      <c r="A190" s="2"/>
      <c r="B190" s="3"/>
      <c r="C190" s="3"/>
      <c r="D190" s="3"/>
      <c r="E190" s="3"/>
      <c r="F190" s="3"/>
      <c r="G190" s="3"/>
      <c r="H190" s="21"/>
      <c r="I190" s="3"/>
      <c r="J190" s="3"/>
      <c r="K190" s="24"/>
      <c r="L190" s="24"/>
      <c r="M190" s="24"/>
      <c r="N190" s="24"/>
      <c r="O190" s="24"/>
      <c r="P190" s="24"/>
      <c r="R190" s="3"/>
      <c r="S190" s="3"/>
      <c r="T190" s="3"/>
      <c r="U190" s="3"/>
      <c r="V190" s="3"/>
    </row>
    <row r="191" spans="1:22">
      <c r="A191" s="2"/>
      <c r="B191" s="3"/>
      <c r="C191" s="3"/>
      <c r="D191" s="3"/>
      <c r="E191" s="3"/>
      <c r="F191" s="3"/>
      <c r="G191" s="3"/>
      <c r="H191" s="21"/>
      <c r="I191" s="3"/>
      <c r="J191" s="3"/>
      <c r="K191" s="24"/>
      <c r="L191" s="24"/>
      <c r="M191" s="24"/>
      <c r="N191" s="24"/>
      <c r="O191" s="24"/>
      <c r="P191" s="24"/>
      <c r="R191" s="3"/>
      <c r="S191" s="3"/>
      <c r="T191" s="3"/>
      <c r="U191" s="3"/>
      <c r="V191" s="3"/>
    </row>
    <row r="192" spans="1:22">
      <c r="A192" s="2"/>
      <c r="B192" s="3"/>
      <c r="C192" s="3"/>
      <c r="D192" s="3"/>
      <c r="E192" s="3"/>
      <c r="F192" s="3"/>
      <c r="G192" s="3"/>
      <c r="H192" s="21"/>
      <c r="I192" s="3"/>
      <c r="J192" s="3"/>
      <c r="K192" s="24"/>
      <c r="L192" s="24"/>
      <c r="M192" s="24"/>
      <c r="N192" s="24"/>
      <c r="O192" s="24"/>
      <c r="P192" s="24"/>
      <c r="R192" s="3"/>
      <c r="S192" s="3"/>
      <c r="T192" s="3"/>
      <c r="U192" s="3"/>
      <c r="V192" s="3"/>
    </row>
    <row r="193" spans="1:22">
      <c r="A193" s="2"/>
      <c r="B193" s="3"/>
      <c r="C193" s="3"/>
      <c r="D193" s="3"/>
      <c r="E193" s="3"/>
      <c r="F193" s="3"/>
      <c r="G193" s="3"/>
      <c r="H193" s="21"/>
      <c r="I193" s="3"/>
      <c r="J193" s="3"/>
      <c r="K193" s="24"/>
      <c r="L193" s="24"/>
      <c r="M193" s="24"/>
      <c r="N193" s="24"/>
      <c r="O193" s="24"/>
      <c r="P193" s="24"/>
      <c r="R193" s="3"/>
      <c r="S193" s="3"/>
      <c r="T193" s="3"/>
      <c r="U193" s="3"/>
      <c r="V193" s="3"/>
    </row>
    <row r="194" spans="1:22">
      <c r="A194" s="2"/>
      <c r="B194" s="3"/>
      <c r="C194" s="3"/>
      <c r="D194" s="3"/>
      <c r="E194" s="3"/>
      <c r="F194" s="3"/>
      <c r="G194" s="3"/>
      <c r="H194" s="21"/>
      <c r="I194" s="3"/>
      <c r="J194" s="3"/>
      <c r="K194" s="24"/>
      <c r="L194" s="24"/>
      <c r="M194" s="24"/>
      <c r="N194" s="24"/>
      <c r="O194" s="24"/>
      <c r="P194" s="24"/>
      <c r="R194" s="3"/>
      <c r="S194" s="3"/>
      <c r="T194" s="3"/>
      <c r="U194" s="3"/>
      <c r="V194" s="3"/>
    </row>
    <row r="195" spans="1:22">
      <c r="A195" s="2"/>
      <c r="B195" s="3"/>
      <c r="C195" s="3"/>
      <c r="D195" s="3"/>
      <c r="E195" s="3"/>
      <c r="F195" s="3"/>
      <c r="G195" s="3"/>
      <c r="H195" s="21"/>
      <c r="I195" s="3"/>
      <c r="J195" s="3"/>
      <c r="K195" s="24"/>
      <c r="L195" s="24"/>
      <c r="M195" s="24"/>
      <c r="N195" s="24"/>
      <c r="O195" s="24"/>
      <c r="P195" s="24"/>
      <c r="R195" s="3"/>
      <c r="S195" s="3"/>
      <c r="T195" s="3"/>
      <c r="U195" s="3"/>
      <c r="V195" s="3"/>
    </row>
    <row r="196" spans="1:22">
      <c r="A196" s="2"/>
      <c r="B196" s="3"/>
      <c r="C196" s="3"/>
      <c r="D196" s="3"/>
      <c r="E196" s="3"/>
      <c r="F196" s="3"/>
      <c r="G196" s="3"/>
      <c r="H196" s="21"/>
      <c r="I196" s="3"/>
      <c r="J196" s="3"/>
      <c r="K196" s="24"/>
      <c r="L196" s="24"/>
      <c r="M196" s="24"/>
      <c r="N196" s="24"/>
      <c r="O196" s="24"/>
      <c r="P196" s="24"/>
      <c r="R196" s="3"/>
      <c r="S196" s="3"/>
      <c r="T196" s="3"/>
      <c r="U196" s="3"/>
      <c r="V196" s="3"/>
    </row>
    <row r="197" spans="1:22">
      <c r="A197" s="2"/>
      <c r="B197" s="3"/>
      <c r="C197" s="3"/>
      <c r="D197" s="3"/>
      <c r="E197" s="3"/>
      <c r="F197" s="3"/>
      <c r="G197" s="3"/>
      <c r="H197" s="21"/>
      <c r="I197" s="3"/>
      <c r="J197" s="3"/>
      <c r="K197" s="24"/>
      <c r="L197" s="24"/>
      <c r="M197" s="24"/>
      <c r="N197" s="24"/>
      <c r="O197" s="24"/>
      <c r="P197" s="24"/>
      <c r="R197" s="3"/>
      <c r="S197" s="3"/>
      <c r="T197" s="3"/>
      <c r="U197" s="3"/>
      <c r="V197" s="3"/>
    </row>
    <row r="198" spans="1:22">
      <c r="A198" s="2"/>
      <c r="B198" s="3"/>
      <c r="C198" s="3"/>
      <c r="D198" s="3"/>
      <c r="E198" s="3"/>
      <c r="F198" s="3"/>
      <c r="G198" s="3"/>
      <c r="H198" s="21"/>
      <c r="I198" s="3"/>
      <c r="J198" s="3"/>
      <c r="K198" s="24"/>
      <c r="L198" s="24"/>
      <c r="M198" s="24"/>
      <c r="N198" s="24"/>
      <c r="O198" s="24"/>
      <c r="P198" s="24"/>
      <c r="R198" s="3"/>
      <c r="S198" s="3"/>
      <c r="T198" s="3"/>
      <c r="U198" s="3"/>
      <c r="V198" s="3"/>
    </row>
    <row r="199" spans="1:22">
      <c r="A199" s="2"/>
      <c r="B199" s="3"/>
      <c r="C199" s="3"/>
      <c r="D199" s="3"/>
      <c r="E199" s="3"/>
      <c r="F199" s="3"/>
      <c r="G199" s="3"/>
      <c r="H199" s="21"/>
      <c r="I199" s="3"/>
      <c r="J199" s="3"/>
      <c r="K199" s="24"/>
      <c r="L199" s="24"/>
      <c r="M199" s="24"/>
      <c r="N199" s="24"/>
      <c r="O199" s="24"/>
      <c r="P199" s="24"/>
      <c r="R199" s="3"/>
      <c r="S199" s="3"/>
      <c r="T199" s="3"/>
      <c r="U199" s="3"/>
      <c r="V199" s="3"/>
    </row>
    <row r="200" spans="1:22">
      <c r="A200" s="2"/>
      <c r="B200" s="3"/>
      <c r="C200" s="3"/>
      <c r="D200" s="3"/>
      <c r="E200" s="3"/>
      <c r="F200" s="3"/>
      <c r="G200" s="3"/>
      <c r="H200" s="21"/>
      <c r="I200" s="3"/>
      <c r="J200" s="3"/>
      <c r="K200" s="24"/>
      <c r="L200" s="24"/>
      <c r="M200" s="24"/>
      <c r="N200" s="24"/>
      <c r="O200" s="24"/>
      <c r="P200" s="24"/>
      <c r="R200" s="3"/>
      <c r="S200" s="3"/>
      <c r="T200" s="3"/>
      <c r="U200" s="3"/>
      <c r="V200" s="3"/>
    </row>
    <row r="201" spans="1:22">
      <c r="A201" s="2"/>
      <c r="B201" s="3"/>
      <c r="C201" s="3"/>
      <c r="D201" s="3"/>
      <c r="E201" s="3"/>
      <c r="F201" s="3"/>
      <c r="G201" s="3"/>
      <c r="H201" s="21"/>
      <c r="I201" s="3"/>
      <c r="J201" s="3"/>
      <c r="K201" s="24"/>
      <c r="L201" s="24"/>
      <c r="M201" s="24"/>
      <c r="N201" s="24"/>
      <c r="O201" s="24"/>
      <c r="P201" s="24"/>
      <c r="R201" s="3"/>
      <c r="S201" s="3"/>
      <c r="T201" s="3"/>
      <c r="U201" s="3"/>
      <c r="V201" s="3"/>
    </row>
    <row r="202" spans="1:22">
      <c r="A202" s="2"/>
      <c r="B202" s="3"/>
      <c r="C202" s="3"/>
      <c r="D202" s="3"/>
      <c r="E202" s="3"/>
      <c r="F202" s="3"/>
      <c r="G202" s="3"/>
      <c r="H202" s="21"/>
      <c r="I202" s="3"/>
      <c r="J202" s="3"/>
      <c r="K202" s="24"/>
      <c r="L202" s="24"/>
      <c r="M202" s="24"/>
      <c r="N202" s="24"/>
      <c r="O202" s="24"/>
      <c r="P202" s="24"/>
      <c r="R202" s="3"/>
      <c r="S202" s="3"/>
      <c r="T202" s="3"/>
      <c r="U202" s="3"/>
      <c r="V202" s="3"/>
    </row>
    <row r="203" spans="1:22">
      <c r="A203" s="2"/>
      <c r="B203" s="3"/>
      <c r="C203" s="3"/>
      <c r="D203" s="3"/>
      <c r="E203" s="3"/>
      <c r="F203" s="3"/>
      <c r="G203" s="3"/>
      <c r="H203" s="21"/>
      <c r="I203" s="3"/>
      <c r="J203" s="3"/>
      <c r="K203" s="24"/>
      <c r="L203" s="24"/>
      <c r="M203" s="24"/>
      <c r="N203" s="24"/>
      <c r="O203" s="24"/>
      <c r="P203" s="24"/>
      <c r="R203" s="3"/>
      <c r="S203" s="3"/>
      <c r="T203" s="3"/>
      <c r="U203" s="3"/>
      <c r="V203" s="3"/>
    </row>
    <row r="204" spans="1:22">
      <c r="A204" s="2"/>
      <c r="B204" s="3"/>
      <c r="C204" s="3"/>
      <c r="D204" s="3"/>
      <c r="E204" s="3"/>
      <c r="F204" s="3"/>
      <c r="G204" s="3"/>
      <c r="H204" s="21"/>
      <c r="I204" s="3"/>
      <c r="J204" s="3"/>
      <c r="K204" s="24"/>
      <c r="L204" s="24"/>
      <c r="M204" s="24"/>
      <c r="N204" s="24"/>
      <c r="O204" s="24"/>
      <c r="P204" s="24"/>
      <c r="R204" s="3"/>
      <c r="S204" s="3"/>
      <c r="T204" s="3"/>
      <c r="U204" s="3"/>
      <c r="V204" s="3"/>
    </row>
    <row r="205" spans="1:22">
      <c r="A205" s="2"/>
      <c r="B205" s="3"/>
      <c r="C205" s="3"/>
      <c r="D205" s="3"/>
      <c r="E205" s="3"/>
      <c r="F205" s="3"/>
      <c r="G205" s="3"/>
      <c r="H205" s="21"/>
      <c r="I205" s="3"/>
      <c r="J205" s="3"/>
      <c r="K205" s="24"/>
      <c r="L205" s="24"/>
      <c r="M205" s="24"/>
      <c r="N205" s="24"/>
      <c r="O205" s="24"/>
      <c r="P205" s="24"/>
      <c r="R205" s="3"/>
      <c r="S205" s="3"/>
      <c r="T205" s="3"/>
      <c r="U205" s="3"/>
      <c r="V205" s="3"/>
    </row>
    <row r="206" spans="1:22">
      <c r="A206" s="2"/>
      <c r="B206" s="3"/>
      <c r="C206" s="3"/>
      <c r="D206" s="3"/>
      <c r="E206" s="3"/>
      <c r="F206" s="3"/>
      <c r="G206" s="3"/>
      <c r="H206" s="21"/>
      <c r="I206" s="3"/>
      <c r="J206" s="3"/>
      <c r="K206" s="24"/>
      <c r="L206" s="24"/>
      <c r="M206" s="24"/>
      <c r="N206" s="24"/>
      <c r="O206" s="24"/>
      <c r="P206" s="24"/>
      <c r="R206" s="3"/>
      <c r="S206" s="3"/>
      <c r="T206" s="3"/>
      <c r="U206" s="3"/>
      <c r="V206" s="3"/>
    </row>
    <row r="207" spans="1:22">
      <c r="A207" s="2"/>
      <c r="B207" s="3"/>
      <c r="C207" s="3"/>
      <c r="D207" s="3"/>
      <c r="E207" s="3"/>
      <c r="F207" s="3"/>
      <c r="G207" s="3"/>
      <c r="H207" s="21"/>
      <c r="I207" s="3"/>
      <c r="J207" s="3"/>
      <c r="K207" s="24"/>
      <c r="L207" s="24"/>
      <c r="M207" s="24"/>
      <c r="N207" s="24"/>
      <c r="O207" s="24"/>
      <c r="P207" s="24"/>
      <c r="R207" s="3"/>
      <c r="S207" s="3"/>
      <c r="T207" s="3"/>
      <c r="U207" s="3"/>
      <c r="V207" s="3"/>
    </row>
    <row r="208" spans="1:22">
      <c r="A208" s="2"/>
      <c r="B208" s="3"/>
      <c r="C208" s="3"/>
      <c r="D208" s="3"/>
      <c r="E208" s="3"/>
      <c r="F208" s="3"/>
      <c r="G208" s="3"/>
      <c r="H208" s="21"/>
      <c r="I208" s="3"/>
      <c r="J208" s="3"/>
      <c r="K208" s="24"/>
      <c r="L208" s="24"/>
      <c r="M208" s="24"/>
      <c r="N208" s="24"/>
      <c r="O208" s="24"/>
      <c r="P208" s="24"/>
      <c r="R208" s="3"/>
      <c r="S208" s="3"/>
      <c r="T208" s="3"/>
      <c r="U208" s="3"/>
      <c r="V208" s="3"/>
    </row>
    <row r="209" spans="1:22">
      <c r="A209" s="2"/>
      <c r="B209" s="3"/>
      <c r="C209" s="3"/>
      <c r="D209" s="3"/>
      <c r="E209" s="3"/>
      <c r="F209" s="3"/>
      <c r="G209" s="3"/>
      <c r="H209" s="21"/>
      <c r="I209" s="3"/>
      <c r="J209" s="3"/>
      <c r="K209" s="24"/>
      <c r="L209" s="24"/>
      <c r="M209" s="24"/>
      <c r="N209" s="24"/>
      <c r="O209" s="24"/>
      <c r="P209" s="24"/>
      <c r="R209" s="3"/>
      <c r="S209" s="3"/>
      <c r="T209" s="3"/>
      <c r="U209" s="3"/>
      <c r="V209" s="3"/>
    </row>
    <row r="210" spans="1:22">
      <c r="A210" s="2"/>
      <c r="B210" s="3"/>
      <c r="C210" s="3"/>
      <c r="D210" s="3"/>
      <c r="E210" s="3"/>
      <c r="F210" s="3"/>
      <c r="G210" s="3"/>
      <c r="H210" s="21"/>
      <c r="I210" s="3"/>
      <c r="J210" s="3"/>
      <c r="K210" s="24"/>
      <c r="L210" s="24"/>
      <c r="M210" s="24"/>
      <c r="N210" s="24"/>
      <c r="O210" s="24"/>
      <c r="P210" s="24"/>
      <c r="R210" s="3"/>
      <c r="S210" s="3"/>
      <c r="T210" s="3"/>
      <c r="U210" s="3"/>
      <c r="V210" s="3"/>
    </row>
    <row r="211" spans="1:22">
      <c r="A211" s="2"/>
      <c r="B211" s="3"/>
      <c r="C211" s="3"/>
      <c r="D211" s="3"/>
      <c r="E211" s="3"/>
      <c r="F211" s="3"/>
      <c r="G211" s="3"/>
      <c r="H211" s="21"/>
      <c r="I211" s="3"/>
      <c r="J211" s="3"/>
      <c r="K211" s="24"/>
      <c r="L211" s="24"/>
      <c r="M211" s="24"/>
      <c r="N211" s="24"/>
      <c r="O211" s="24"/>
      <c r="P211" s="24"/>
      <c r="R211" s="3"/>
      <c r="S211" s="3"/>
      <c r="T211" s="3"/>
      <c r="U211" s="3"/>
      <c r="V211" s="3"/>
    </row>
    <row r="212" spans="1:22">
      <c r="A212" s="2"/>
      <c r="B212" s="3"/>
      <c r="C212" s="3"/>
      <c r="D212" s="3"/>
      <c r="E212" s="3"/>
      <c r="F212" s="3"/>
      <c r="G212" s="3"/>
      <c r="H212" s="21"/>
      <c r="I212" s="3"/>
      <c r="J212" s="3"/>
      <c r="K212" s="24"/>
      <c r="L212" s="24"/>
      <c r="M212" s="24"/>
      <c r="N212" s="24"/>
      <c r="O212" s="24"/>
      <c r="P212" s="24"/>
      <c r="R212" s="3"/>
      <c r="S212" s="3"/>
      <c r="T212" s="3"/>
      <c r="U212" s="3"/>
      <c r="V212" s="3"/>
    </row>
    <row r="213" spans="1:22">
      <c r="A213" s="2"/>
      <c r="B213" s="3"/>
      <c r="C213" s="3"/>
      <c r="D213" s="3"/>
      <c r="E213" s="3"/>
      <c r="F213" s="3"/>
      <c r="G213" s="3"/>
      <c r="H213" s="21"/>
      <c r="I213" s="3"/>
      <c r="J213" s="3"/>
      <c r="K213" s="24"/>
      <c r="L213" s="24"/>
      <c r="M213" s="24"/>
      <c r="N213" s="24"/>
      <c r="O213" s="24"/>
      <c r="P213" s="24"/>
      <c r="R213" s="3"/>
      <c r="S213" s="3"/>
      <c r="T213" s="3"/>
      <c r="U213" s="3"/>
      <c r="V213" s="3"/>
    </row>
    <row r="214" spans="1:22">
      <c r="A214" s="2"/>
      <c r="B214" s="3"/>
      <c r="C214" s="3"/>
      <c r="D214" s="3"/>
      <c r="E214" s="3"/>
      <c r="F214" s="3"/>
      <c r="G214" s="3"/>
      <c r="H214" s="21"/>
      <c r="I214" s="3"/>
      <c r="J214" s="3"/>
      <c r="K214" s="24"/>
      <c r="L214" s="24"/>
      <c r="M214" s="24"/>
      <c r="N214" s="24"/>
      <c r="O214" s="24"/>
      <c r="P214" s="24"/>
      <c r="R214" s="3"/>
      <c r="S214" s="3"/>
      <c r="T214" s="3"/>
      <c r="U214" s="3"/>
      <c r="V214" s="3"/>
    </row>
    <row r="215" spans="1:22">
      <c r="A215" s="2"/>
      <c r="B215" s="3"/>
      <c r="C215" s="3"/>
      <c r="D215" s="3"/>
      <c r="E215" s="3"/>
      <c r="F215" s="3"/>
      <c r="G215" s="3"/>
      <c r="H215" s="21"/>
      <c r="I215" s="3"/>
      <c r="J215" s="3"/>
      <c r="K215" s="24"/>
      <c r="L215" s="24"/>
      <c r="M215" s="24"/>
      <c r="N215" s="24"/>
      <c r="O215" s="24"/>
      <c r="P215" s="24"/>
      <c r="R215" s="3"/>
      <c r="S215" s="3"/>
      <c r="T215" s="3"/>
      <c r="U215" s="3"/>
      <c r="V215" s="3"/>
    </row>
    <row r="216" spans="1:22">
      <c r="A216" s="2"/>
      <c r="B216" s="3"/>
      <c r="C216" s="3"/>
      <c r="D216" s="3"/>
      <c r="E216" s="3"/>
      <c r="F216" s="3"/>
      <c r="G216" s="3"/>
      <c r="H216" s="21"/>
      <c r="I216" s="3"/>
      <c r="J216" s="3"/>
      <c r="K216" s="24"/>
      <c r="L216" s="24"/>
      <c r="M216" s="24"/>
      <c r="N216" s="24"/>
      <c r="O216" s="24"/>
      <c r="P216" s="24"/>
      <c r="R216" s="3"/>
      <c r="S216" s="3"/>
      <c r="T216" s="3"/>
      <c r="U216" s="3"/>
      <c r="V216" s="3"/>
    </row>
    <row r="217" spans="1:22">
      <c r="A217" s="2"/>
      <c r="B217" s="3"/>
      <c r="C217" s="3"/>
      <c r="D217" s="3"/>
      <c r="E217" s="3"/>
      <c r="F217" s="3"/>
      <c r="G217" s="3"/>
      <c r="H217" s="21"/>
      <c r="I217" s="3"/>
      <c r="J217" s="3"/>
      <c r="K217" s="24"/>
      <c r="L217" s="24"/>
      <c r="M217" s="24"/>
      <c r="N217" s="24"/>
      <c r="O217" s="24"/>
      <c r="P217" s="24"/>
      <c r="R217" s="3"/>
      <c r="S217" s="3"/>
      <c r="T217" s="3"/>
      <c r="U217" s="3"/>
      <c r="V217" s="3"/>
    </row>
    <row r="218" spans="1:22">
      <c r="A218" s="2"/>
      <c r="B218" s="3"/>
      <c r="C218" s="3"/>
      <c r="D218" s="3"/>
      <c r="E218" s="3"/>
      <c r="F218" s="3"/>
      <c r="G218" s="3"/>
      <c r="H218" s="21"/>
      <c r="I218" s="3"/>
      <c r="J218" s="3"/>
      <c r="K218" s="24"/>
      <c r="L218" s="24"/>
      <c r="M218" s="24"/>
      <c r="N218" s="24"/>
      <c r="O218" s="24"/>
      <c r="P218" s="24"/>
      <c r="R218" s="3"/>
      <c r="S218" s="3"/>
      <c r="T218" s="3"/>
      <c r="U218" s="3"/>
      <c r="V218" s="3"/>
    </row>
    <row r="219" spans="1:22">
      <c r="A219" s="2"/>
      <c r="B219" s="3"/>
      <c r="C219" s="3"/>
      <c r="D219" s="3"/>
      <c r="E219" s="3"/>
      <c r="F219" s="3"/>
      <c r="G219" s="3"/>
      <c r="H219" s="21"/>
      <c r="I219" s="3"/>
      <c r="J219" s="3"/>
      <c r="K219" s="24"/>
      <c r="L219" s="24"/>
      <c r="M219" s="24"/>
      <c r="N219" s="24"/>
      <c r="O219" s="24"/>
      <c r="P219" s="24"/>
      <c r="R219" s="3"/>
      <c r="S219" s="3"/>
      <c r="T219" s="3"/>
      <c r="U219" s="3"/>
      <c r="V219" s="3"/>
    </row>
    <row r="220" spans="1:22">
      <c r="A220" s="2"/>
      <c r="B220" s="3"/>
      <c r="C220" s="3"/>
      <c r="D220" s="3"/>
      <c r="E220" s="3"/>
      <c r="F220" s="3"/>
      <c r="G220" s="3"/>
      <c r="H220" s="21"/>
      <c r="I220" s="3"/>
      <c r="J220" s="3"/>
      <c r="K220" s="24"/>
      <c r="L220" s="24"/>
      <c r="M220" s="24"/>
      <c r="N220" s="24"/>
      <c r="O220" s="24"/>
      <c r="P220" s="24"/>
      <c r="R220" s="3"/>
      <c r="S220" s="3"/>
      <c r="T220" s="3"/>
      <c r="U220" s="3"/>
      <c r="V220" s="3"/>
    </row>
    <row r="221" spans="1:22">
      <c r="A221" s="2"/>
      <c r="B221" s="3"/>
      <c r="C221" s="3"/>
      <c r="D221" s="3"/>
      <c r="E221" s="3"/>
      <c r="F221" s="3"/>
      <c r="G221" s="3"/>
      <c r="H221" s="21"/>
      <c r="I221" s="3"/>
      <c r="J221" s="3"/>
      <c r="K221" s="24"/>
      <c r="L221" s="24"/>
      <c r="M221" s="24"/>
      <c r="N221" s="24"/>
      <c r="O221" s="24"/>
      <c r="P221" s="24"/>
      <c r="R221" s="3"/>
      <c r="S221" s="3"/>
      <c r="T221" s="3"/>
      <c r="U221" s="3"/>
      <c r="V221" s="3"/>
    </row>
    <row r="222" spans="1:22">
      <c r="A222" s="2"/>
      <c r="B222" s="3"/>
      <c r="C222" s="3"/>
      <c r="D222" s="3"/>
      <c r="E222" s="3"/>
      <c r="F222" s="3"/>
      <c r="G222" s="3"/>
      <c r="H222" s="21"/>
      <c r="I222" s="3"/>
      <c r="J222" s="3"/>
      <c r="K222" s="24"/>
      <c r="L222" s="24"/>
      <c r="M222" s="24"/>
      <c r="N222" s="24"/>
      <c r="O222" s="24"/>
      <c r="P222" s="24"/>
      <c r="R222" s="3"/>
      <c r="S222" s="3"/>
      <c r="T222" s="3"/>
      <c r="U222" s="3"/>
      <c r="V222" s="3"/>
    </row>
    <row r="223" spans="1:22">
      <c r="A223" s="2"/>
      <c r="B223" s="3"/>
      <c r="C223" s="3"/>
      <c r="D223" s="3"/>
      <c r="E223" s="3"/>
      <c r="F223" s="3"/>
      <c r="G223" s="3"/>
      <c r="H223" s="21"/>
      <c r="I223" s="3"/>
      <c r="J223" s="3"/>
      <c r="K223" s="24"/>
      <c r="L223" s="24"/>
      <c r="M223" s="24"/>
      <c r="N223" s="24"/>
      <c r="O223" s="24"/>
      <c r="P223" s="24"/>
      <c r="R223" s="3"/>
      <c r="S223" s="3"/>
      <c r="T223" s="3"/>
      <c r="U223" s="3"/>
      <c r="V223" s="3"/>
    </row>
    <row r="224" spans="1:22">
      <c r="A224" s="2"/>
      <c r="B224" s="3"/>
      <c r="C224" s="3"/>
      <c r="D224" s="3"/>
      <c r="E224" s="3"/>
      <c r="F224" s="3"/>
      <c r="G224" s="3"/>
      <c r="H224" s="21"/>
      <c r="I224" s="3"/>
      <c r="J224" s="3"/>
      <c r="K224" s="24"/>
      <c r="L224" s="24"/>
      <c r="M224" s="24"/>
      <c r="N224" s="24"/>
      <c r="O224" s="24"/>
      <c r="P224" s="24"/>
      <c r="R224" s="3"/>
      <c r="S224" s="3"/>
      <c r="T224" s="3"/>
      <c r="U224" s="3"/>
      <c r="V224" s="3"/>
    </row>
    <row r="225" spans="1:22">
      <c r="A225" s="2"/>
      <c r="B225" s="3"/>
      <c r="C225" s="3"/>
      <c r="D225" s="3"/>
      <c r="E225" s="3"/>
      <c r="F225" s="3"/>
      <c r="G225" s="3"/>
      <c r="H225" s="21"/>
      <c r="I225" s="3"/>
      <c r="J225" s="3"/>
      <c r="K225" s="24"/>
      <c r="L225" s="24"/>
      <c r="M225" s="24"/>
      <c r="N225" s="24"/>
      <c r="O225" s="24"/>
      <c r="P225" s="24"/>
      <c r="R225" s="3"/>
      <c r="S225" s="3"/>
      <c r="T225" s="3"/>
      <c r="U225" s="3"/>
      <c r="V225" s="3"/>
    </row>
    <row r="226" spans="1:22">
      <c r="A226" s="2"/>
      <c r="B226" s="3"/>
      <c r="C226" s="3"/>
      <c r="D226" s="3"/>
      <c r="E226" s="3"/>
      <c r="F226" s="3"/>
      <c r="G226" s="3"/>
      <c r="H226" s="21"/>
      <c r="I226" s="3"/>
      <c r="J226" s="3"/>
      <c r="K226" s="24"/>
      <c r="L226" s="24"/>
      <c r="M226" s="24"/>
      <c r="N226" s="24"/>
      <c r="O226" s="24"/>
      <c r="P226" s="24"/>
      <c r="R226" s="3"/>
      <c r="S226" s="3"/>
      <c r="T226" s="3"/>
      <c r="U226" s="3"/>
      <c r="V226" s="3"/>
    </row>
    <row r="227" spans="1:22">
      <c r="A227" s="2"/>
      <c r="B227" s="3"/>
      <c r="C227" s="3"/>
      <c r="D227" s="3"/>
      <c r="E227" s="3"/>
      <c r="F227" s="3"/>
      <c r="G227" s="3"/>
      <c r="H227" s="21"/>
      <c r="I227" s="3"/>
      <c r="J227" s="3"/>
      <c r="K227" s="24"/>
      <c r="L227" s="24"/>
      <c r="M227" s="24"/>
      <c r="N227" s="24"/>
      <c r="O227" s="24"/>
      <c r="P227" s="24"/>
      <c r="R227" s="3"/>
      <c r="S227" s="3"/>
      <c r="T227" s="3"/>
      <c r="U227" s="3"/>
      <c r="V227" s="3"/>
    </row>
    <row r="228" spans="1:22">
      <c r="A228" s="2"/>
      <c r="B228" s="3"/>
      <c r="C228" s="3"/>
      <c r="D228" s="3"/>
      <c r="E228" s="3"/>
      <c r="F228" s="3"/>
      <c r="G228" s="3"/>
      <c r="H228" s="21"/>
      <c r="I228" s="3"/>
      <c r="J228" s="3"/>
      <c r="K228" s="24"/>
      <c r="L228" s="24"/>
      <c r="M228" s="24"/>
      <c r="N228" s="24"/>
      <c r="O228" s="24"/>
      <c r="P228" s="24"/>
      <c r="R228" s="3"/>
      <c r="S228" s="3"/>
      <c r="T228" s="3"/>
      <c r="U228" s="3"/>
      <c r="V228" s="3"/>
    </row>
    <row r="229" spans="1:22">
      <c r="A229" s="2"/>
      <c r="B229" s="3"/>
      <c r="C229" s="3"/>
      <c r="D229" s="3"/>
      <c r="E229" s="3"/>
      <c r="F229" s="3"/>
      <c r="G229" s="3"/>
      <c r="H229" s="21"/>
      <c r="I229" s="3"/>
      <c r="J229" s="3"/>
      <c r="K229" s="24"/>
      <c r="L229" s="24"/>
      <c r="M229" s="24"/>
      <c r="N229" s="24"/>
      <c r="O229" s="24"/>
      <c r="P229" s="24"/>
      <c r="R229" s="3"/>
      <c r="S229" s="3"/>
      <c r="T229" s="3"/>
      <c r="U229" s="3"/>
      <c r="V229" s="3"/>
    </row>
    <row r="230" spans="1:22">
      <c r="A230" s="2"/>
      <c r="B230" s="3"/>
      <c r="C230" s="3"/>
      <c r="D230" s="3"/>
      <c r="E230" s="3"/>
      <c r="F230" s="3"/>
      <c r="G230" s="3"/>
      <c r="H230" s="21"/>
      <c r="I230" s="3"/>
      <c r="J230" s="3"/>
      <c r="K230" s="24"/>
      <c r="L230" s="24"/>
      <c r="M230" s="24"/>
      <c r="N230" s="24"/>
      <c r="O230" s="24"/>
      <c r="P230" s="24"/>
      <c r="R230" s="3"/>
      <c r="S230" s="3"/>
      <c r="T230" s="3"/>
      <c r="U230" s="3"/>
      <c r="V230" s="3"/>
    </row>
    <row r="231" spans="1:22">
      <c r="A231" s="2"/>
      <c r="B231" s="3"/>
      <c r="C231" s="3"/>
      <c r="D231" s="3"/>
      <c r="E231" s="3"/>
      <c r="F231" s="3"/>
      <c r="G231" s="3"/>
      <c r="H231" s="21"/>
      <c r="I231" s="3"/>
      <c r="J231" s="3"/>
      <c r="K231" s="24"/>
      <c r="L231" s="24"/>
      <c r="M231" s="24"/>
      <c r="N231" s="24"/>
      <c r="O231" s="24"/>
      <c r="P231" s="24"/>
      <c r="R231" s="3"/>
      <c r="S231" s="3"/>
      <c r="T231" s="3"/>
      <c r="U231" s="3"/>
      <c r="V231" s="3"/>
    </row>
    <row r="232" spans="1:22">
      <c r="A232" s="2"/>
      <c r="B232" s="3"/>
      <c r="C232" s="3"/>
      <c r="D232" s="3"/>
      <c r="E232" s="3"/>
      <c r="F232" s="3"/>
      <c r="G232" s="3"/>
      <c r="H232" s="21"/>
      <c r="I232" s="3"/>
      <c r="J232" s="3"/>
      <c r="K232" s="24"/>
      <c r="L232" s="24"/>
      <c r="M232" s="24"/>
      <c r="N232" s="24"/>
      <c r="O232" s="24"/>
      <c r="P232" s="24"/>
      <c r="R232" s="3"/>
      <c r="S232" s="3"/>
      <c r="T232" s="3"/>
      <c r="U232" s="3"/>
      <c r="V232" s="3"/>
    </row>
    <row r="233" spans="1:22">
      <c r="A233" s="2"/>
      <c r="B233" s="3"/>
      <c r="C233" s="3"/>
      <c r="D233" s="3"/>
      <c r="E233" s="3"/>
      <c r="F233" s="3"/>
      <c r="G233" s="3"/>
      <c r="H233" s="21"/>
      <c r="I233" s="3"/>
      <c r="J233" s="3"/>
      <c r="K233" s="24"/>
      <c r="L233" s="24"/>
      <c r="M233" s="24"/>
      <c r="N233" s="24"/>
      <c r="O233" s="24"/>
      <c r="P233" s="24"/>
      <c r="R233" s="3"/>
      <c r="S233" s="3"/>
      <c r="T233" s="3"/>
      <c r="U233" s="3"/>
      <c r="V233" s="3"/>
    </row>
    <row r="234" spans="1:22">
      <c r="A234" s="2"/>
      <c r="B234" s="3"/>
      <c r="C234" s="3"/>
      <c r="D234" s="3"/>
      <c r="E234" s="3"/>
      <c r="F234" s="3"/>
      <c r="G234" s="3"/>
      <c r="H234" s="21"/>
      <c r="I234" s="3"/>
      <c r="J234" s="3"/>
      <c r="K234" s="24"/>
      <c r="L234" s="24"/>
      <c r="M234" s="24"/>
      <c r="N234" s="24"/>
      <c r="O234" s="24"/>
      <c r="P234" s="24"/>
      <c r="R234" s="3"/>
      <c r="S234" s="3"/>
      <c r="T234" s="3"/>
      <c r="U234" s="3"/>
      <c r="V234" s="3"/>
    </row>
    <row r="235" spans="1:22">
      <c r="A235" s="2"/>
      <c r="B235" s="3"/>
      <c r="C235" s="3"/>
      <c r="D235" s="3"/>
      <c r="E235" s="3"/>
      <c r="F235" s="3"/>
      <c r="G235" s="3"/>
      <c r="H235" s="21"/>
      <c r="I235" s="3"/>
      <c r="J235" s="3"/>
      <c r="K235" s="24"/>
      <c r="L235" s="24"/>
      <c r="M235" s="24"/>
      <c r="N235" s="24"/>
      <c r="O235" s="24"/>
      <c r="P235" s="24"/>
      <c r="R235" s="3"/>
      <c r="S235" s="3"/>
      <c r="T235" s="3"/>
      <c r="U235" s="3"/>
      <c r="V235" s="3"/>
    </row>
    <row r="236" spans="1:22">
      <c r="A236" s="2"/>
      <c r="B236" s="3"/>
      <c r="C236" s="3"/>
      <c r="D236" s="3"/>
      <c r="E236" s="3"/>
      <c r="F236" s="3"/>
      <c r="G236" s="3"/>
      <c r="H236" s="21"/>
      <c r="I236" s="3"/>
      <c r="J236" s="3"/>
      <c r="K236" s="24"/>
      <c r="L236" s="24"/>
      <c r="M236" s="24"/>
      <c r="N236" s="24"/>
      <c r="O236" s="24"/>
      <c r="P236" s="24"/>
      <c r="R236" s="3"/>
      <c r="S236" s="3"/>
      <c r="T236" s="3"/>
      <c r="U236" s="3"/>
      <c r="V236" s="3"/>
    </row>
    <row r="237" spans="1:22">
      <c r="A237" s="2"/>
      <c r="B237" s="3"/>
      <c r="C237" s="3"/>
      <c r="D237" s="3"/>
      <c r="E237" s="3"/>
      <c r="F237" s="3"/>
      <c r="G237" s="3"/>
      <c r="H237" s="21"/>
      <c r="I237" s="3"/>
      <c r="J237" s="3"/>
      <c r="K237" s="24"/>
      <c r="L237" s="24"/>
      <c r="M237" s="24"/>
      <c r="N237" s="24"/>
      <c r="O237" s="24"/>
      <c r="P237" s="24"/>
      <c r="R237" s="3"/>
      <c r="S237" s="3"/>
      <c r="T237" s="3"/>
      <c r="U237" s="3"/>
      <c r="V237" s="3"/>
    </row>
    <row r="238" spans="1:22">
      <c r="A238" s="2"/>
      <c r="B238" s="3"/>
      <c r="C238" s="3"/>
      <c r="D238" s="3"/>
      <c r="E238" s="3"/>
      <c r="F238" s="3"/>
      <c r="G238" s="3"/>
      <c r="H238" s="21"/>
      <c r="I238" s="3"/>
      <c r="J238" s="3"/>
      <c r="K238" s="24"/>
      <c r="L238" s="24"/>
      <c r="M238" s="24"/>
      <c r="N238" s="24"/>
      <c r="O238" s="24"/>
      <c r="P238" s="24"/>
      <c r="R238" s="3"/>
      <c r="S238" s="3"/>
      <c r="T238" s="3"/>
      <c r="U238" s="3"/>
      <c r="V238" s="3"/>
    </row>
    <row r="239" spans="1:22">
      <c r="A239" s="2"/>
      <c r="B239" s="3"/>
      <c r="C239" s="3"/>
      <c r="D239" s="3"/>
      <c r="E239" s="3"/>
      <c r="F239" s="3"/>
      <c r="G239" s="3"/>
      <c r="H239" s="21"/>
      <c r="I239" s="3"/>
      <c r="J239" s="3"/>
      <c r="K239" s="24"/>
      <c r="L239" s="24"/>
      <c r="M239" s="24"/>
      <c r="N239" s="24"/>
      <c r="O239" s="24"/>
      <c r="P239" s="24"/>
      <c r="R239" s="3"/>
      <c r="S239" s="3"/>
      <c r="T239" s="3"/>
      <c r="U239" s="3"/>
      <c r="V239" s="3"/>
    </row>
    <row r="240" spans="1:22">
      <c r="A240" s="2"/>
      <c r="B240" s="3"/>
      <c r="C240" s="3"/>
      <c r="D240" s="3"/>
      <c r="E240" s="3"/>
      <c r="F240" s="3"/>
      <c r="G240" s="3"/>
      <c r="H240" s="21"/>
      <c r="I240" s="3"/>
      <c r="J240" s="3"/>
      <c r="K240" s="24"/>
      <c r="L240" s="24"/>
      <c r="M240" s="24"/>
      <c r="N240" s="24"/>
      <c r="O240" s="24"/>
      <c r="P240" s="24"/>
      <c r="R240" s="3"/>
      <c r="S240" s="3"/>
      <c r="T240" s="3"/>
      <c r="U240" s="3"/>
      <c r="V240" s="3"/>
    </row>
    <row r="241" spans="1:22">
      <c r="A241" s="2"/>
      <c r="B241" s="3"/>
      <c r="C241" s="3"/>
      <c r="D241" s="3"/>
      <c r="E241" s="3"/>
      <c r="F241" s="3"/>
      <c r="G241" s="3"/>
      <c r="H241" s="21"/>
      <c r="I241" s="3"/>
      <c r="J241" s="3"/>
      <c r="K241" s="24"/>
      <c r="L241" s="24"/>
      <c r="M241" s="24"/>
      <c r="N241" s="24"/>
      <c r="O241" s="24"/>
      <c r="P241" s="24"/>
      <c r="R241" s="3"/>
      <c r="S241" s="3"/>
      <c r="T241" s="3"/>
      <c r="U241" s="3"/>
      <c r="V241" s="3"/>
    </row>
    <row r="242" spans="1:22">
      <c r="A242" s="2"/>
      <c r="B242" s="3"/>
      <c r="C242" s="3"/>
      <c r="D242" s="3"/>
      <c r="E242" s="3"/>
      <c r="F242" s="3"/>
      <c r="G242" s="3"/>
      <c r="H242" s="21"/>
      <c r="I242" s="3"/>
      <c r="J242" s="3"/>
      <c r="K242" s="24"/>
      <c r="L242" s="24"/>
      <c r="M242" s="24"/>
      <c r="N242" s="24"/>
      <c r="O242" s="24"/>
      <c r="P242" s="24"/>
      <c r="R242" s="3"/>
      <c r="S242" s="3"/>
      <c r="T242" s="3"/>
      <c r="U242" s="3"/>
      <c r="V242" s="3"/>
    </row>
    <row r="243" spans="1:22">
      <c r="A243" s="2"/>
      <c r="B243" s="3"/>
      <c r="C243" s="3"/>
      <c r="D243" s="3"/>
      <c r="E243" s="3"/>
      <c r="F243" s="3"/>
      <c r="G243" s="3"/>
      <c r="H243" s="21"/>
      <c r="I243" s="3"/>
      <c r="J243" s="3"/>
      <c r="K243" s="24"/>
      <c r="L243" s="24"/>
      <c r="M243" s="24"/>
      <c r="N243" s="24"/>
      <c r="O243" s="24"/>
      <c r="P243" s="24"/>
      <c r="R243" s="3"/>
      <c r="S243" s="3"/>
      <c r="T243" s="3"/>
      <c r="U243" s="3"/>
      <c r="V243" s="3"/>
    </row>
    <row r="244" spans="1:22">
      <c r="A244" s="2"/>
      <c r="B244" s="3"/>
      <c r="C244" s="3"/>
      <c r="D244" s="3"/>
      <c r="E244" s="3"/>
      <c r="F244" s="3"/>
      <c r="G244" s="3"/>
      <c r="H244" s="21"/>
      <c r="I244" s="3"/>
      <c r="J244" s="3"/>
      <c r="K244" s="24"/>
      <c r="L244" s="24"/>
      <c r="M244" s="24"/>
      <c r="N244" s="24"/>
      <c r="O244" s="24"/>
      <c r="P244" s="24"/>
      <c r="R244" s="3"/>
      <c r="S244" s="3"/>
      <c r="T244" s="3"/>
      <c r="U244" s="3"/>
      <c r="V244" s="3"/>
    </row>
    <row r="245" spans="1:22">
      <c r="A245" s="2"/>
      <c r="B245" s="3"/>
      <c r="C245" s="3"/>
      <c r="D245" s="3"/>
      <c r="E245" s="3"/>
      <c r="F245" s="3"/>
      <c r="G245" s="3"/>
      <c r="H245" s="21"/>
      <c r="I245" s="3"/>
      <c r="J245" s="3"/>
      <c r="K245" s="24"/>
      <c r="L245" s="24"/>
      <c r="M245" s="24"/>
      <c r="N245" s="24"/>
      <c r="O245" s="24"/>
      <c r="P245" s="24"/>
      <c r="R245" s="3"/>
      <c r="S245" s="3"/>
      <c r="T245" s="3"/>
      <c r="U245" s="3"/>
      <c r="V245" s="3"/>
    </row>
    <row r="246" spans="1:22">
      <c r="A246" s="2"/>
      <c r="B246" s="3"/>
      <c r="C246" s="3"/>
      <c r="D246" s="3"/>
      <c r="E246" s="3"/>
      <c r="F246" s="3"/>
      <c r="G246" s="3"/>
      <c r="H246" s="21"/>
      <c r="I246" s="3"/>
      <c r="J246" s="3"/>
      <c r="K246" s="24"/>
      <c r="L246" s="24"/>
      <c r="M246" s="24"/>
      <c r="N246" s="24"/>
      <c r="O246" s="24"/>
      <c r="P246" s="24"/>
      <c r="R246" s="3"/>
      <c r="S246" s="3"/>
      <c r="T246" s="3"/>
      <c r="U246" s="3"/>
      <c r="V246" s="3"/>
    </row>
    <row r="247" spans="1:22">
      <c r="A247" s="2"/>
      <c r="B247" s="3"/>
      <c r="C247" s="3"/>
      <c r="D247" s="3"/>
      <c r="E247" s="3"/>
      <c r="F247" s="3"/>
      <c r="G247" s="3"/>
      <c r="H247" s="21"/>
      <c r="I247" s="3"/>
      <c r="J247" s="3"/>
      <c r="K247" s="24"/>
      <c r="L247" s="24"/>
      <c r="M247" s="24"/>
      <c r="N247" s="24"/>
      <c r="O247" s="24"/>
      <c r="P247" s="24"/>
      <c r="R247" s="3"/>
      <c r="S247" s="3"/>
      <c r="T247" s="3"/>
      <c r="U247" s="3"/>
      <c r="V247" s="3"/>
    </row>
    <row r="248" spans="1:22">
      <c r="A248" s="2"/>
      <c r="B248" s="3"/>
      <c r="C248" s="3"/>
      <c r="D248" s="3"/>
      <c r="E248" s="3"/>
      <c r="F248" s="3"/>
      <c r="G248" s="3"/>
      <c r="H248" s="21"/>
      <c r="I248" s="3"/>
      <c r="J248" s="3"/>
      <c r="K248" s="24"/>
      <c r="L248" s="24"/>
      <c r="M248" s="24"/>
      <c r="N248" s="24"/>
      <c r="O248" s="24"/>
      <c r="P248" s="24"/>
      <c r="R248" s="3"/>
      <c r="S248" s="3"/>
      <c r="T248" s="3"/>
      <c r="U248" s="3"/>
      <c r="V248" s="3"/>
    </row>
    <row r="249" spans="1:22">
      <c r="A249" s="2"/>
      <c r="B249" s="3"/>
      <c r="C249" s="3"/>
      <c r="D249" s="3"/>
      <c r="E249" s="3"/>
      <c r="F249" s="3"/>
      <c r="G249" s="3"/>
      <c r="H249" s="21"/>
      <c r="I249" s="3"/>
      <c r="J249" s="3"/>
      <c r="K249" s="24"/>
      <c r="L249" s="24"/>
      <c r="M249" s="24"/>
      <c r="N249" s="24"/>
      <c r="O249" s="24"/>
      <c r="P249" s="24"/>
      <c r="R249" s="3"/>
      <c r="S249" s="3"/>
      <c r="T249" s="3"/>
      <c r="U249" s="3"/>
      <c r="V249" s="3"/>
    </row>
    <row r="250" spans="1:22">
      <c r="A250" s="2"/>
      <c r="B250" s="3"/>
      <c r="C250" s="3"/>
      <c r="D250" s="3"/>
      <c r="E250" s="3"/>
      <c r="F250" s="3"/>
      <c r="G250" s="3"/>
      <c r="H250" s="21"/>
      <c r="I250" s="3"/>
      <c r="J250" s="3"/>
      <c r="K250" s="24"/>
      <c r="L250" s="24"/>
      <c r="M250" s="24"/>
      <c r="N250" s="24"/>
      <c r="O250" s="24"/>
      <c r="P250" s="24"/>
      <c r="R250" s="3"/>
      <c r="S250" s="3"/>
      <c r="T250" s="3"/>
      <c r="U250" s="3"/>
      <c r="V250" s="3"/>
    </row>
    <row r="251" spans="1:22">
      <c r="A251" s="2"/>
      <c r="B251" s="3"/>
      <c r="C251" s="3"/>
      <c r="D251" s="3"/>
      <c r="E251" s="3"/>
      <c r="F251" s="3"/>
      <c r="G251" s="3"/>
      <c r="H251" s="21"/>
      <c r="I251" s="3"/>
      <c r="J251" s="3"/>
      <c r="K251" s="24"/>
      <c r="L251" s="24"/>
      <c r="M251" s="24"/>
      <c r="N251" s="24"/>
      <c r="O251" s="24"/>
      <c r="P251" s="24"/>
      <c r="R251" s="3"/>
      <c r="S251" s="3"/>
      <c r="T251" s="3"/>
      <c r="U251" s="3"/>
      <c r="V251" s="3"/>
    </row>
    <row r="252" spans="1:22">
      <c r="A252" s="2"/>
      <c r="B252" s="3"/>
      <c r="C252" s="3"/>
      <c r="D252" s="3"/>
      <c r="E252" s="3"/>
      <c r="F252" s="3"/>
      <c r="G252" s="3"/>
      <c r="H252" s="21"/>
      <c r="I252" s="3"/>
      <c r="J252" s="3"/>
      <c r="K252" s="24"/>
      <c r="L252" s="24"/>
      <c r="M252" s="24"/>
      <c r="N252" s="24"/>
      <c r="O252" s="24"/>
      <c r="P252" s="24"/>
      <c r="R252" s="3"/>
      <c r="S252" s="3"/>
      <c r="T252" s="3"/>
      <c r="U252" s="3"/>
      <c r="V252" s="3"/>
    </row>
    <row r="253" spans="1:22">
      <c r="A253" s="2"/>
      <c r="B253" s="3"/>
      <c r="C253" s="3"/>
      <c r="D253" s="3"/>
      <c r="E253" s="3"/>
      <c r="F253" s="3"/>
      <c r="G253" s="3"/>
      <c r="H253" s="21"/>
      <c r="I253" s="3"/>
      <c r="J253" s="3"/>
      <c r="K253" s="24"/>
      <c r="L253" s="24"/>
      <c r="M253" s="24"/>
      <c r="N253" s="24"/>
      <c r="O253" s="24"/>
      <c r="P253" s="24"/>
      <c r="R253" s="3"/>
      <c r="S253" s="3"/>
      <c r="T253" s="3"/>
      <c r="U253" s="3"/>
      <c r="V253" s="3"/>
    </row>
    <row r="254" spans="1:22">
      <c r="A254" s="2"/>
      <c r="B254" s="3"/>
      <c r="C254" s="3"/>
      <c r="D254" s="3"/>
      <c r="E254" s="3"/>
      <c r="F254" s="3"/>
      <c r="G254" s="3"/>
      <c r="H254" s="21"/>
      <c r="I254" s="3"/>
      <c r="J254" s="3"/>
      <c r="K254" s="24"/>
      <c r="L254" s="24"/>
      <c r="M254" s="24"/>
      <c r="N254" s="24"/>
      <c r="O254" s="24"/>
      <c r="P254" s="24"/>
      <c r="R254" s="3"/>
      <c r="S254" s="3"/>
      <c r="T254" s="3"/>
      <c r="U254" s="3"/>
      <c r="V254" s="3"/>
    </row>
    <row r="255" spans="1:22">
      <c r="A255" s="2"/>
      <c r="B255" s="3"/>
      <c r="C255" s="3"/>
      <c r="D255" s="3"/>
      <c r="E255" s="3"/>
      <c r="F255" s="3"/>
      <c r="G255" s="3"/>
      <c r="H255" s="21"/>
      <c r="I255" s="3"/>
      <c r="J255" s="3"/>
      <c r="K255" s="24"/>
      <c r="L255" s="24"/>
      <c r="M255" s="24"/>
      <c r="N255" s="24"/>
      <c r="O255" s="24"/>
      <c r="P255" s="24"/>
      <c r="R255" s="3"/>
      <c r="S255" s="3"/>
      <c r="T255" s="3"/>
      <c r="U255" s="3"/>
      <c r="V255" s="3"/>
    </row>
    <row r="256" spans="1:22">
      <c r="A256" s="2"/>
      <c r="B256" s="3"/>
      <c r="C256" s="3"/>
      <c r="D256" s="3"/>
      <c r="E256" s="3"/>
      <c r="F256" s="3"/>
      <c r="G256" s="3"/>
      <c r="H256" s="21"/>
      <c r="I256" s="3"/>
      <c r="J256" s="3"/>
      <c r="K256" s="24"/>
      <c r="L256" s="24"/>
      <c r="M256" s="24"/>
      <c r="N256" s="24"/>
      <c r="O256" s="24"/>
      <c r="P256" s="24"/>
      <c r="R256" s="3"/>
      <c r="S256" s="3"/>
      <c r="T256" s="3"/>
      <c r="U256" s="3"/>
      <c r="V256" s="3"/>
    </row>
    <row r="257" spans="1:22">
      <c r="A257" s="2"/>
      <c r="B257" s="3"/>
      <c r="C257" s="3"/>
      <c r="D257" s="3"/>
      <c r="E257" s="3"/>
      <c r="F257" s="3"/>
      <c r="G257" s="3"/>
      <c r="H257" s="21"/>
      <c r="I257" s="3"/>
      <c r="J257" s="3"/>
      <c r="K257" s="24"/>
      <c r="L257" s="24"/>
      <c r="M257" s="24"/>
      <c r="N257" s="24"/>
      <c r="O257" s="24"/>
      <c r="P257" s="24"/>
      <c r="R257" s="3"/>
      <c r="S257" s="3"/>
      <c r="T257" s="3"/>
      <c r="U257" s="3"/>
      <c r="V257" s="3"/>
    </row>
    <row r="258" spans="1:22">
      <c r="A258" s="2"/>
      <c r="B258" s="3"/>
      <c r="C258" s="3"/>
      <c r="D258" s="3"/>
      <c r="E258" s="3"/>
      <c r="F258" s="3"/>
      <c r="G258" s="3"/>
      <c r="H258" s="21"/>
      <c r="I258" s="3"/>
      <c r="J258" s="3"/>
      <c r="K258" s="24"/>
      <c r="L258" s="24"/>
      <c r="M258" s="24"/>
      <c r="N258" s="24"/>
      <c r="O258" s="24"/>
      <c r="P258" s="24"/>
      <c r="R258" s="3"/>
      <c r="S258" s="3"/>
      <c r="T258" s="3"/>
      <c r="U258" s="3"/>
      <c r="V258" s="3"/>
    </row>
    <row r="259" spans="1:22">
      <c r="A259" s="2"/>
      <c r="B259" s="3"/>
      <c r="C259" s="3"/>
      <c r="D259" s="3"/>
      <c r="E259" s="3"/>
      <c r="F259" s="3"/>
      <c r="G259" s="3"/>
      <c r="H259" s="21"/>
      <c r="I259" s="3"/>
      <c r="J259" s="3"/>
      <c r="K259" s="24"/>
      <c r="L259" s="24"/>
      <c r="M259" s="24"/>
      <c r="N259" s="24"/>
      <c r="O259" s="24"/>
      <c r="P259" s="24"/>
      <c r="R259" s="3"/>
      <c r="S259" s="3"/>
      <c r="T259" s="3"/>
      <c r="U259" s="3"/>
      <c r="V259" s="3"/>
    </row>
    <row r="260" spans="1:22">
      <c r="A260" s="2"/>
      <c r="B260" s="3"/>
      <c r="C260" s="3"/>
      <c r="D260" s="3"/>
      <c r="E260" s="3"/>
      <c r="F260" s="3"/>
      <c r="G260" s="3"/>
      <c r="H260" s="21"/>
      <c r="I260" s="3"/>
      <c r="J260" s="3"/>
      <c r="K260" s="24"/>
      <c r="L260" s="24"/>
      <c r="M260" s="24"/>
      <c r="N260" s="24"/>
      <c r="O260" s="24"/>
      <c r="P260" s="24"/>
      <c r="R260" s="3"/>
      <c r="S260" s="3"/>
      <c r="T260" s="3"/>
      <c r="U260" s="3"/>
      <c r="V260" s="3"/>
    </row>
    <row r="261" spans="1:22">
      <c r="A261" s="2"/>
      <c r="B261" s="3"/>
      <c r="C261" s="3"/>
      <c r="D261" s="3"/>
      <c r="E261" s="3"/>
      <c r="F261" s="3"/>
      <c r="G261" s="3"/>
      <c r="H261" s="21"/>
      <c r="I261" s="3"/>
      <c r="J261" s="3"/>
      <c r="K261" s="24"/>
      <c r="L261" s="24"/>
      <c r="M261" s="24"/>
      <c r="N261" s="24"/>
      <c r="O261" s="24"/>
      <c r="P261" s="24"/>
      <c r="R261" s="3"/>
      <c r="S261" s="3"/>
      <c r="T261" s="3"/>
      <c r="U261" s="3"/>
      <c r="V261" s="3"/>
    </row>
    <row r="262" spans="1:22">
      <c r="A262" s="2"/>
      <c r="B262" s="3"/>
      <c r="C262" s="3"/>
      <c r="D262" s="3"/>
      <c r="E262" s="3"/>
      <c r="F262" s="3"/>
      <c r="G262" s="3"/>
      <c r="H262" s="21"/>
      <c r="I262" s="3"/>
      <c r="J262" s="3"/>
      <c r="K262" s="24"/>
      <c r="L262" s="24"/>
      <c r="M262" s="24"/>
      <c r="N262" s="24"/>
      <c r="O262" s="24"/>
      <c r="P262" s="24"/>
      <c r="R262" s="3"/>
      <c r="S262" s="3"/>
      <c r="T262" s="3"/>
      <c r="U262" s="3"/>
      <c r="V262" s="3"/>
    </row>
    <row r="263" spans="1:22">
      <c r="A263" s="2"/>
      <c r="B263" s="3"/>
      <c r="C263" s="3"/>
      <c r="D263" s="3"/>
      <c r="E263" s="3"/>
      <c r="F263" s="3"/>
      <c r="G263" s="3"/>
      <c r="H263" s="21"/>
      <c r="I263" s="3"/>
      <c r="J263" s="3"/>
      <c r="K263" s="24"/>
      <c r="L263" s="24"/>
      <c r="M263" s="24"/>
      <c r="N263" s="24"/>
      <c r="O263" s="24"/>
      <c r="P263" s="24"/>
      <c r="R263" s="3"/>
      <c r="S263" s="3"/>
      <c r="T263" s="3"/>
      <c r="U263" s="3"/>
      <c r="V263" s="3"/>
    </row>
    <row r="264" spans="1:22">
      <c r="A264" s="2"/>
      <c r="B264" s="3"/>
      <c r="C264" s="3"/>
      <c r="D264" s="3"/>
      <c r="E264" s="3"/>
      <c r="F264" s="3"/>
      <c r="G264" s="3"/>
      <c r="H264" s="21"/>
      <c r="I264" s="3"/>
      <c r="J264" s="3"/>
      <c r="K264" s="24"/>
      <c r="L264" s="24"/>
      <c r="M264" s="24"/>
      <c r="N264" s="24"/>
      <c r="O264" s="24"/>
      <c r="P264" s="24"/>
      <c r="R264" s="3"/>
      <c r="S264" s="3"/>
      <c r="T264" s="3"/>
      <c r="U264" s="3"/>
      <c r="V264" s="3"/>
    </row>
    <row r="265" spans="1:22">
      <c r="A265" s="2"/>
      <c r="B265" s="3"/>
      <c r="C265" s="3"/>
      <c r="D265" s="3"/>
      <c r="E265" s="3"/>
      <c r="F265" s="3"/>
      <c r="G265" s="3"/>
      <c r="H265" s="21"/>
      <c r="I265" s="3"/>
      <c r="J265" s="3"/>
      <c r="K265" s="24"/>
      <c r="L265" s="24"/>
      <c r="M265" s="24"/>
      <c r="N265" s="24"/>
      <c r="O265" s="24"/>
      <c r="P265" s="24"/>
      <c r="R265" s="3"/>
      <c r="S265" s="3"/>
      <c r="T265" s="3"/>
      <c r="U265" s="3"/>
      <c r="V265" s="3"/>
    </row>
    <row r="266" spans="1:22">
      <c r="A266" s="2"/>
      <c r="B266" s="3"/>
      <c r="C266" s="3"/>
      <c r="D266" s="3"/>
      <c r="E266" s="3"/>
      <c r="F266" s="3"/>
      <c r="G266" s="3"/>
      <c r="H266" s="21"/>
      <c r="I266" s="3"/>
      <c r="J266" s="3"/>
      <c r="K266" s="24"/>
      <c r="L266" s="24"/>
      <c r="M266" s="24"/>
      <c r="N266" s="24"/>
      <c r="O266" s="24"/>
      <c r="P266" s="24"/>
      <c r="R266" s="3"/>
      <c r="S266" s="3"/>
      <c r="T266" s="3"/>
      <c r="U266" s="3"/>
      <c r="V266" s="3"/>
    </row>
    <row r="267" spans="1:22">
      <c r="A267" s="2"/>
      <c r="B267" s="3"/>
      <c r="C267" s="3"/>
      <c r="D267" s="3"/>
      <c r="E267" s="3"/>
      <c r="F267" s="3"/>
      <c r="G267" s="3"/>
      <c r="H267" s="21"/>
      <c r="I267" s="3"/>
      <c r="J267" s="3"/>
      <c r="K267" s="24"/>
      <c r="L267" s="24"/>
      <c r="M267" s="24"/>
      <c r="N267" s="24"/>
      <c r="O267" s="24"/>
      <c r="P267" s="24"/>
      <c r="R267" s="3"/>
      <c r="S267" s="3"/>
      <c r="T267" s="3"/>
      <c r="U267" s="3"/>
      <c r="V267" s="3"/>
    </row>
    <row r="268" spans="1:22">
      <c r="A268" s="2"/>
      <c r="B268" s="3"/>
      <c r="C268" s="3"/>
      <c r="D268" s="3"/>
      <c r="E268" s="3"/>
      <c r="F268" s="3"/>
      <c r="G268" s="3"/>
      <c r="H268" s="21"/>
      <c r="I268" s="3"/>
      <c r="J268" s="3"/>
      <c r="K268" s="24"/>
      <c r="L268" s="24"/>
      <c r="M268" s="24"/>
      <c r="N268" s="24"/>
      <c r="O268" s="24"/>
      <c r="P268" s="24"/>
      <c r="R268" s="3"/>
      <c r="S268" s="3"/>
      <c r="T268" s="3"/>
      <c r="U268" s="3"/>
      <c r="V268" s="3"/>
    </row>
    <row r="269" spans="1:22">
      <c r="A269" s="2"/>
      <c r="B269" s="3"/>
      <c r="C269" s="3"/>
      <c r="D269" s="3"/>
      <c r="E269" s="3"/>
      <c r="F269" s="3"/>
      <c r="G269" s="3"/>
      <c r="H269" s="21"/>
      <c r="I269" s="3"/>
      <c r="J269" s="3"/>
      <c r="K269" s="24"/>
      <c r="L269" s="24"/>
      <c r="M269" s="24"/>
      <c r="N269" s="24"/>
      <c r="O269" s="24"/>
      <c r="P269" s="24"/>
      <c r="R269" s="3"/>
      <c r="S269" s="3"/>
      <c r="T269" s="3"/>
      <c r="U269" s="3"/>
      <c r="V269" s="3"/>
    </row>
    <row r="270" spans="1:22">
      <c r="A270" s="2"/>
      <c r="B270" s="3"/>
      <c r="C270" s="3"/>
      <c r="D270" s="3"/>
      <c r="E270" s="3"/>
      <c r="F270" s="3"/>
      <c r="G270" s="3"/>
      <c r="H270" s="21"/>
      <c r="I270" s="3"/>
      <c r="J270" s="3"/>
      <c r="K270" s="24"/>
      <c r="L270" s="24"/>
      <c r="M270" s="24"/>
      <c r="N270" s="24"/>
      <c r="O270" s="24"/>
      <c r="P270" s="24"/>
      <c r="R270" s="3"/>
      <c r="S270" s="3"/>
      <c r="T270" s="3"/>
      <c r="U270" s="3"/>
      <c r="V270" s="3"/>
    </row>
    <row r="271" spans="1:22">
      <c r="A271" s="2"/>
      <c r="B271" s="3"/>
      <c r="C271" s="3"/>
      <c r="D271" s="3"/>
      <c r="E271" s="3"/>
      <c r="F271" s="3"/>
      <c r="G271" s="3"/>
      <c r="H271" s="21"/>
      <c r="I271" s="3"/>
      <c r="J271" s="3"/>
      <c r="K271" s="24"/>
      <c r="L271" s="24"/>
      <c r="M271" s="24"/>
      <c r="N271" s="24"/>
      <c r="O271" s="24"/>
      <c r="P271" s="24"/>
      <c r="R271" s="3"/>
      <c r="S271" s="3"/>
      <c r="T271" s="3"/>
      <c r="U271" s="3"/>
      <c r="V271" s="3"/>
    </row>
    <row r="272" spans="1:22">
      <c r="A272" s="2"/>
      <c r="B272" s="3"/>
      <c r="C272" s="3"/>
      <c r="D272" s="3"/>
      <c r="E272" s="3"/>
      <c r="F272" s="3"/>
      <c r="G272" s="3"/>
      <c r="H272" s="21"/>
      <c r="I272" s="3"/>
      <c r="J272" s="3"/>
      <c r="K272" s="24"/>
      <c r="L272" s="24"/>
      <c r="M272" s="24"/>
      <c r="N272" s="24"/>
      <c r="O272" s="24"/>
      <c r="P272" s="24"/>
      <c r="R272" s="3"/>
      <c r="S272" s="3"/>
      <c r="T272" s="3"/>
      <c r="U272" s="3"/>
      <c r="V272" s="3"/>
    </row>
    <row r="273" spans="1:22">
      <c r="A273" s="2"/>
      <c r="B273" s="3"/>
      <c r="C273" s="3"/>
      <c r="D273" s="3"/>
      <c r="E273" s="3"/>
      <c r="F273" s="3"/>
      <c r="G273" s="3"/>
      <c r="H273" s="21"/>
      <c r="I273" s="3"/>
      <c r="J273" s="3"/>
      <c r="K273" s="24"/>
      <c r="L273" s="24"/>
      <c r="M273" s="24"/>
      <c r="N273" s="24"/>
      <c r="O273" s="24"/>
      <c r="P273" s="24"/>
      <c r="R273" s="3"/>
      <c r="S273" s="3"/>
      <c r="T273" s="3"/>
      <c r="U273" s="3"/>
      <c r="V273" s="3"/>
    </row>
    <row r="274" spans="1:22">
      <c r="A274" s="2"/>
      <c r="B274" s="3"/>
      <c r="C274" s="3"/>
      <c r="D274" s="3"/>
      <c r="E274" s="3"/>
      <c r="F274" s="3"/>
      <c r="G274" s="3"/>
      <c r="H274" s="21"/>
      <c r="I274" s="3"/>
      <c r="J274" s="3"/>
      <c r="K274" s="24"/>
      <c r="L274" s="24"/>
      <c r="M274" s="24"/>
      <c r="N274" s="24"/>
      <c r="O274" s="24"/>
      <c r="P274" s="24"/>
      <c r="R274" s="3"/>
      <c r="S274" s="3"/>
      <c r="T274" s="3"/>
      <c r="U274" s="3"/>
      <c r="V274" s="3"/>
    </row>
    <row r="275" spans="1:22">
      <c r="A275" s="2"/>
      <c r="B275" s="3"/>
      <c r="C275" s="3"/>
      <c r="D275" s="3"/>
      <c r="E275" s="3"/>
      <c r="F275" s="3"/>
      <c r="G275" s="3"/>
      <c r="H275" s="21"/>
      <c r="I275" s="3"/>
      <c r="J275" s="3"/>
      <c r="K275" s="24"/>
      <c r="L275" s="24"/>
      <c r="M275" s="24"/>
      <c r="N275" s="24"/>
      <c r="O275" s="24"/>
      <c r="P275" s="24"/>
      <c r="R275" s="3"/>
      <c r="S275" s="3"/>
      <c r="T275" s="3"/>
      <c r="U275" s="3"/>
      <c r="V275" s="3"/>
    </row>
    <row r="276" spans="1:22">
      <c r="A276" s="2"/>
      <c r="B276" s="3"/>
      <c r="C276" s="3"/>
      <c r="D276" s="3"/>
      <c r="E276" s="3"/>
      <c r="F276" s="3"/>
      <c r="G276" s="3"/>
      <c r="H276" s="21"/>
      <c r="I276" s="3"/>
      <c r="J276" s="3"/>
      <c r="K276" s="24"/>
      <c r="L276" s="24"/>
      <c r="M276" s="24"/>
      <c r="N276" s="24"/>
      <c r="O276" s="24"/>
      <c r="P276" s="24"/>
      <c r="R276" s="3"/>
      <c r="S276" s="3"/>
      <c r="T276" s="3"/>
      <c r="U276" s="3"/>
      <c r="V276" s="3"/>
    </row>
    <row r="277" spans="1:22">
      <c r="A277" s="2"/>
      <c r="B277" s="3"/>
      <c r="C277" s="3"/>
      <c r="D277" s="3"/>
      <c r="E277" s="3"/>
      <c r="F277" s="3"/>
      <c r="G277" s="3"/>
      <c r="H277" s="21"/>
      <c r="I277" s="3"/>
      <c r="J277" s="3"/>
      <c r="K277" s="24"/>
      <c r="L277" s="24"/>
      <c r="M277" s="24"/>
      <c r="N277" s="24"/>
      <c r="O277" s="24"/>
      <c r="P277" s="24"/>
      <c r="R277" s="3"/>
      <c r="S277" s="3"/>
      <c r="T277" s="3"/>
      <c r="U277" s="3"/>
      <c r="V277" s="3"/>
    </row>
    <row r="278" spans="1:22">
      <c r="A278" s="2"/>
      <c r="B278" s="3"/>
      <c r="C278" s="3"/>
      <c r="D278" s="3"/>
      <c r="E278" s="3"/>
      <c r="F278" s="3"/>
      <c r="G278" s="3"/>
      <c r="H278" s="21"/>
      <c r="I278" s="3"/>
      <c r="J278" s="3"/>
      <c r="K278" s="24"/>
      <c r="L278" s="24"/>
      <c r="M278" s="24"/>
      <c r="N278" s="24"/>
      <c r="O278" s="24"/>
      <c r="P278" s="24"/>
      <c r="R278" s="3"/>
      <c r="S278" s="3"/>
      <c r="T278" s="3"/>
      <c r="U278" s="3"/>
      <c r="V278" s="3"/>
    </row>
    <row r="279" spans="1:22">
      <c r="A279" s="2"/>
      <c r="B279" s="3"/>
      <c r="C279" s="3"/>
      <c r="D279" s="3"/>
      <c r="E279" s="3"/>
      <c r="F279" s="3"/>
      <c r="G279" s="3"/>
      <c r="H279" s="21"/>
      <c r="I279" s="3"/>
      <c r="J279" s="3"/>
      <c r="K279" s="24"/>
      <c r="L279" s="24"/>
      <c r="M279" s="24"/>
      <c r="N279" s="24"/>
      <c r="O279" s="24"/>
      <c r="P279" s="24"/>
      <c r="R279" s="3"/>
      <c r="S279" s="3"/>
      <c r="T279" s="3"/>
      <c r="U279" s="3"/>
      <c r="V279" s="3"/>
    </row>
    <row r="280" spans="1:22">
      <c r="A280" s="2"/>
      <c r="B280" s="3"/>
      <c r="C280" s="3"/>
      <c r="D280" s="3"/>
      <c r="E280" s="3"/>
      <c r="F280" s="3"/>
      <c r="G280" s="3"/>
      <c r="H280" s="21"/>
      <c r="I280" s="3"/>
      <c r="J280" s="3"/>
      <c r="K280" s="24"/>
      <c r="L280" s="24"/>
      <c r="M280" s="24"/>
      <c r="N280" s="24"/>
      <c r="O280" s="24"/>
      <c r="P280" s="24"/>
      <c r="R280" s="3"/>
      <c r="S280" s="3"/>
      <c r="T280" s="3"/>
      <c r="U280" s="3"/>
      <c r="V280" s="3"/>
    </row>
    <row r="281" spans="1:22">
      <c r="A281" s="2"/>
      <c r="B281" s="3"/>
      <c r="C281" s="3"/>
      <c r="D281" s="3"/>
      <c r="E281" s="3"/>
      <c r="F281" s="3"/>
      <c r="G281" s="3"/>
      <c r="H281" s="21"/>
      <c r="I281" s="3"/>
      <c r="J281" s="3"/>
      <c r="K281" s="24"/>
      <c r="L281" s="24"/>
      <c r="M281" s="24"/>
      <c r="N281" s="24"/>
      <c r="O281" s="24"/>
      <c r="P281" s="24"/>
      <c r="R281" s="3"/>
      <c r="S281" s="3"/>
      <c r="T281" s="3"/>
      <c r="U281" s="3"/>
      <c r="V281" s="3"/>
    </row>
    <row r="282" spans="1:22">
      <c r="A282" s="2"/>
      <c r="B282" s="3"/>
      <c r="C282" s="3"/>
      <c r="D282" s="3"/>
      <c r="E282" s="3"/>
      <c r="F282" s="3"/>
      <c r="G282" s="3"/>
      <c r="H282" s="21"/>
      <c r="I282" s="3"/>
      <c r="J282" s="3"/>
      <c r="K282" s="24"/>
      <c r="L282" s="24"/>
      <c r="M282" s="24"/>
      <c r="N282" s="24"/>
      <c r="O282" s="24"/>
      <c r="P282" s="24"/>
      <c r="R282" s="3"/>
      <c r="S282" s="3"/>
      <c r="T282" s="3"/>
      <c r="U282" s="3"/>
      <c r="V282" s="3"/>
    </row>
    <row r="283" spans="1:22">
      <c r="A283" s="2"/>
      <c r="B283" s="3"/>
      <c r="C283" s="3"/>
      <c r="D283" s="3"/>
      <c r="E283" s="3"/>
      <c r="F283" s="3"/>
      <c r="G283" s="3"/>
      <c r="H283" s="21"/>
      <c r="I283" s="3"/>
      <c r="J283" s="3"/>
      <c r="K283" s="24"/>
      <c r="L283" s="24"/>
      <c r="M283" s="24"/>
      <c r="N283" s="24"/>
      <c r="O283" s="24"/>
      <c r="P283" s="24"/>
      <c r="R283" s="3"/>
      <c r="S283" s="3"/>
      <c r="T283" s="3"/>
      <c r="U283" s="3"/>
      <c r="V283" s="3"/>
    </row>
    <row r="284" spans="1:22">
      <c r="A284" s="2"/>
      <c r="B284" s="3"/>
      <c r="C284" s="3"/>
      <c r="D284" s="3"/>
      <c r="E284" s="3"/>
      <c r="F284" s="3"/>
      <c r="G284" s="3"/>
      <c r="H284" s="21"/>
      <c r="I284" s="3"/>
      <c r="J284" s="3"/>
      <c r="K284" s="24"/>
      <c r="L284" s="24"/>
      <c r="M284" s="24"/>
      <c r="N284" s="24"/>
      <c r="O284" s="24"/>
      <c r="P284" s="24"/>
      <c r="R284" s="3"/>
      <c r="S284" s="3"/>
      <c r="T284" s="3"/>
      <c r="U284" s="3"/>
      <c r="V284" s="3"/>
    </row>
    <row r="285" spans="1:22">
      <c r="A285" s="2"/>
      <c r="B285" s="3"/>
      <c r="C285" s="3"/>
      <c r="D285" s="3"/>
      <c r="E285" s="3"/>
      <c r="F285" s="3"/>
      <c r="G285" s="3"/>
      <c r="H285" s="21"/>
      <c r="I285" s="3"/>
      <c r="J285" s="3"/>
      <c r="K285" s="24"/>
      <c r="L285" s="24"/>
      <c r="M285" s="24"/>
      <c r="N285" s="24"/>
      <c r="O285" s="24"/>
      <c r="P285" s="24"/>
      <c r="R285" s="3"/>
      <c r="S285" s="3"/>
      <c r="T285" s="3"/>
      <c r="U285" s="3"/>
      <c r="V285" s="3"/>
    </row>
    <row r="286" spans="1:22">
      <c r="A286" s="2"/>
      <c r="B286" s="3"/>
      <c r="C286" s="3"/>
      <c r="D286" s="3"/>
      <c r="E286" s="3"/>
      <c r="F286" s="3"/>
      <c r="G286" s="3"/>
      <c r="H286" s="21"/>
      <c r="I286" s="3"/>
      <c r="J286" s="3"/>
      <c r="K286" s="24"/>
      <c r="L286" s="24"/>
      <c r="M286" s="24"/>
      <c r="N286" s="24"/>
      <c r="O286" s="24"/>
      <c r="P286" s="24"/>
      <c r="R286" s="3"/>
      <c r="S286" s="3"/>
      <c r="T286" s="3"/>
      <c r="U286" s="3"/>
      <c r="V286" s="3"/>
    </row>
    <row r="287" spans="1:22">
      <c r="A287" s="2"/>
      <c r="B287" s="3"/>
      <c r="C287" s="3"/>
      <c r="D287" s="3"/>
      <c r="E287" s="3"/>
      <c r="F287" s="3"/>
      <c r="G287" s="3"/>
      <c r="H287" s="21"/>
      <c r="I287" s="3"/>
      <c r="J287" s="3"/>
      <c r="K287" s="24"/>
      <c r="L287" s="24"/>
      <c r="M287" s="24"/>
      <c r="N287" s="24"/>
      <c r="O287" s="24"/>
      <c r="P287" s="24"/>
      <c r="R287" s="3"/>
      <c r="S287" s="3"/>
      <c r="T287" s="3"/>
      <c r="U287" s="3"/>
      <c r="V287" s="3"/>
    </row>
    <row r="288" spans="1:22">
      <c r="A288" s="2"/>
      <c r="B288" s="3"/>
      <c r="C288" s="3"/>
      <c r="D288" s="3"/>
      <c r="E288" s="3"/>
      <c r="F288" s="3"/>
      <c r="G288" s="3"/>
      <c r="H288" s="21"/>
      <c r="I288" s="3"/>
      <c r="J288" s="3"/>
      <c r="K288" s="24"/>
      <c r="L288" s="24"/>
      <c r="M288" s="24"/>
      <c r="N288" s="24"/>
      <c r="O288" s="24"/>
      <c r="P288" s="24"/>
      <c r="R288" s="3"/>
      <c r="S288" s="3"/>
      <c r="T288" s="3"/>
      <c r="U288" s="3"/>
      <c r="V288" s="3"/>
    </row>
    <row r="289" spans="1:22">
      <c r="A289" s="2"/>
      <c r="B289" s="3"/>
      <c r="C289" s="3"/>
      <c r="D289" s="3"/>
      <c r="E289" s="3"/>
      <c r="F289" s="3"/>
      <c r="G289" s="3"/>
      <c r="H289" s="21"/>
      <c r="I289" s="3"/>
      <c r="J289" s="3"/>
      <c r="K289" s="24"/>
      <c r="L289" s="24"/>
      <c r="M289" s="24"/>
      <c r="N289" s="24"/>
      <c r="O289" s="24"/>
      <c r="P289" s="24"/>
      <c r="R289" s="3"/>
      <c r="S289" s="3"/>
      <c r="T289" s="3"/>
      <c r="U289" s="3"/>
      <c r="V289" s="3"/>
    </row>
    <row r="290" spans="1:22">
      <c r="A290" s="2"/>
      <c r="B290" s="3"/>
      <c r="C290" s="3"/>
      <c r="D290" s="3"/>
      <c r="E290" s="3"/>
      <c r="F290" s="3"/>
      <c r="G290" s="3"/>
      <c r="H290" s="21"/>
      <c r="I290" s="3"/>
      <c r="J290" s="3"/>
      <c r="K290" s="24"/>
      <c r="L290" s="24"/>
      <c r="M290" s="24"/>
      <c r="N290" s="24"/>
      <c r="O290" s="24"/>
      <c r="P290" s="24"/>
      <c r="R290" s="3"/>
      <c r="S290" s="3"/>
      <c r="T290" s="3"/>
      <c r="U290" s="3"/>
      <c r="V290" s="3"/>
    </row>
    <row r="291" spans="1:22">
      <c r="A291" s="2"/>
      <c r="B291" s="3"/>
      <c r="C291" s="3"/>
      <c r="D291" s="3"/>
      <c r="E291" s="3"/>
      <c r="F291" s="3"/>
      <c r="G291" s="3"/>
      <c r="H291" s="21"/>
      <c r="I291" s="3"/>
      <c r="J291" s="3"/>
      <c r="K291" s="24"/>
      <c r="L291" s="24"/>
      <c r="M291" s="24"/>
      <c r="N291" s="24"/>
      <c r="O291" s="24"/>
      <c r="P291" s="24"/>
      <c r="R291" s="3"/>
      <c r="S291" s="3"/>
      <c r="T291" s="3"/>
      <c r="U291" s="3"/>
      <c r="V291" s="3"/>
    </row>
    <row r="292" spans="1:22">
      <c r="A292" s="2"/>
      <c r="B292" s="3"/>
      <c r="C292" s="3"/>
      <c r="D292" s="3"/>
      <c r="E292" s="3"/>
      <c r="F292" s="3"/>
      <c r="G292" s="3"/>
      <c r="H292" s="21"/>
      <c r="I292" s="3"/>
      <c r="J292" s="3"/>
      <c r="K292" s="24"/>
      <c r="L292" s="24"/>
      <c r="M292" s="24"/>
      <c r="N292" s="24"/>
      <c r="O292" s="24"/>
      <c r="P292" s="24"/>
      <c r="R292" s="3"/>
      <c r="S292" s="3"/>
      <c r="T292" s="3"/>
      <c r="U292" s="3"/>
      <c r="V292" s="3"/>
    </row>
    <row r="293" spans="1:22">
      <c r="A293" s="2"/>
      <c r="B293" s="3"/>
      <c r="C293" s="3"/>
      <c r="D293" s="3"/>
      <c r="E293" s="3"/>
      <c r="F293" s="3"/>
      <c r="G293" s="3"/>
      <c r="H293" s="21"/>
      <c r="I293" s="3"/>
      <c r="J293" s="3"/>
      <c r="K293" s="24"/>
      <c r="L293" s="24"/>
      <c r="M293" s="24"/>
      <c r="N293" s="24"/>
      <c r="O293" s="24"/>
      <c r="P293" s="24"/>
      <c r="R293" s="3"/>
      <c r="S293" s="3"/>
      <c r="T293" s="3"/>
      <c r="U293" s="3"/>
      <c r="V293" s="3"/>
    </row>
    <row r="294" spans="1:22">
      <c r="A294" s="2"/>
      <c r="B294" s="3"/>
      <c r="C294" s="3"/>
      <c r="D294" s="3"/>
      <c r="E294" s="3"/>
      <c r="F294" s="3"/>
      <c r="G294" s="3"/>
      <c r="H294" s="21"/>
      <c r="I294" s="3"/>
      <c r="J294" s="3"/>
      <c r="K294" s="24"/>
      <c r="L294" s="24"/>
      <c r="M294" s="24"/>
      <c r="N294" s="24"/>
      <c r="O294" s="24"/>
      <c r="P294" s="24"/>
      <c r="R294" s="3"/>
      <c r="S294" s="3"/>
      <c r="T294" s="3"/>
      <c r="U294" s="3"/>
      <c r="V294" s="3"/>
    </row>
    <row r="295" spans="1:22">
      <c r="A295" s="2"/>
      <c r="B295" s="3"/>
      <c r="C295" s="3"/>
      <c r="D295" s="3"/>
      <c r="E295" s="3"/>
      <c r="F295" s="3"/>
      <c r="G295" s="3"/>
      <c r="H295" s="21"/>
      <c r="I295" s="3"/>
      <c r="J295" s="3"/>
      <c r="K295" s="24"/>
      <c r="L295" s="24"/>
      <c r="M295" s="24"/>
      <c r="N295" s="24"/>
      <c r="O295" s="24"/>
      <c r="P295" s="24"/>
      <c r="R295" s="3"/>
      <c r="S295" s="3"/>
      <c r="T295" s="3"/>
      <c r="U295" s="3"/>
      <c r="V295" s="3"/>
    </row>
    <row r="296" spans="1:22">
      <c r="A296" s="2"/>
      <c r="B296" s="3"/>
      <c r="C296" s="3"/>
      <c r="D296" s="3"/>
      <c r="E296" s="3"/>
      <c r="F296" s="3"/>
      <c r="G296" s="3"/>
      <c r="H296" s="21"/>
      <c r="I296" s="3"/>
      <c r="J296" s="3"/>
      <c r="K296" s="24"/>
      <c r="L296" s="24"/>
      <c r="M296" s="24"/>
      <c r="N296" s="24"/>
      <c r="O296" s="24"/>
      <c r="P296" s="24"/>
      <c r="R296" s="3"/>
      <c r="S296" s="3"/>
      <c r="T296" s="3"/>
      <c r="U296" s="3"/>
      <c r="V296" s="3"/>
    </row>
    <row r="297" spans="1:22">
      <c r="A297" s="2"/>
      <c r="B297" s="3"/>
      <c r="C297" s="3"/>
      <c r="D297" s="3"/>
      <c r="E297" s="3"/>
      <c r="F297" s="3"/>
      <c r="G297" s="3"/>
      <c r="H297" s="21"/>
      <c r="I297" s="3"/>
      <c r="J297" s="3"/>
      <c r="K297" s="24"/>
      <c r="L297" s="24"/>
      <c r="M297" s="24"/>
      <c r="N297" s="24"/>
      <c r="O297" s="24"/>
      <c r="P297" s="24"/>
      <c r="R297" s="3"/>
      <c r="S297" s="3"/>
      <c r="T297" s="3"/>
      <c r="U297" s="3"/>
      <c r="V297" s="3"/>
    </row>
    <row r="298" spans="1:22">
      <c r="A298" s="2"/>
      <c r="B298" s="3"/>
      <c r="C298" s="3"/>
      <c r="D298" s="3"/>
      <c r="E298" s="3"/>
      <c r="F298" s="3"/>
      <c r="G298" s="3"/>
      <c r="H298" s="21"/>
      <c r="I298" s="3"/>
      <c r="J298" s="3"/>
      <c r="K298" s="24"/>
      <c r="L298" s="24"/>
      <c r="M298" s="24"/>
      <c r="N298" s="24"/>
      <c r="O298" s="24"/>
      <c r="P298" s="24"/>
      <c r="R298" s="3"/>
      <c r="S298" s="3"/>
      <c r="T298" s="3"/>
      <c r="U298" s="3"/>
      <c r="V298" s="3"/>
    </row>
    <row r="299" spans="1:22">
      <c r="A299" s="2"/>
      <c r="B299" s="3"/>
      <c r="C299" s="3"/>
      <c r="D299" s="3"/>
      <c r="E299" s="3"/>
      <c r="F299" s="3"/>
      <c r="G299" s="3"/>
      <c r="H299" s="21"/>
      <c r="I299" s="3"/>
      <c r="J299" s="3"/>
      <c r="K299" s="24"/>
      <c r="L299" s="24"/>
      <c r="M299" s="24"/>
      <c r="N299" s="24"/>
      <c r="O299" s="24"/>
      <c r="P299" s="24"/>
      <c r="R299" s="3"/>
      <c r="S299" s="3"/>
      <c r="T299" s="3"/>
      <c r="U299" s="3"/>
      <c r="V299" s="3"/>
    </row>
    <row r="300" spans="1:22">
      <c r="A300" s="2"/>
      <c r="B300" s="3"/>
      <c r="C300" s="3"/>
      <c r="D300" s="3"/>
      <c r="E300" s="3"/>
      <c r="F300" s="3"/>
      <c r="G300" s="3"/>
      <c r="H300" s="21"/>
      <c r="I300" s="3"/>
      <c r="J300" s="3"/>
      <c r="K300" s="24"/>
      <c r="L300" s="24"/>
      <c r="M300" s="24"/>
      <c r="N300" s="24"/>
      <c r="O300" s="24"/>
      <c r="P300" s="24"/>
      <c r="R300" s="3"/>
      <c r="S300" s="3"/>
      <c r="T300" s="3"/>
      <c r="U300" s="3"/>
      <c r="V300" s="3"/>
    </row>
    <row r="301" spans="1:22">
      <c r="A301" s="2"/>
      <c r="B301" s="3"/>
      <c r="C301" s="3"/>
      <c r="D301" s="3"/>
      <c r="E301" s="3"/>
      <c r="F301" s="3"/>
      <c r="G301" s="3"/>
      <c r="H301" s="21"/>
      <c r="I301" s="3"/>
      <c r="J301" s="3"/>
      <c r="K301" s="24"/>
      <c r="L301" s="24"/>
      <c r="M301" s="24"/>
      <c r="N301" s="24"/>
      <c r="O301" s="24"/>
      <c r="P301" s="24"/>
      <c r="R301" s="3"/>
      <c r="S301" s="3"/>
      <c r="T301" s="3"/>
      <c r="U301" s="3"/>
      <c r="V301" s="3"/>
    </row>
    <row r="302" spans="1:22">
      <c r="A302" s="2"/>
      <c r="B302" s="3"/>
      <c r="C302" s="3"/>
      <c r="D302" s="3"/>
      <c r="E302" s="3"/>
      <c r="F302" s="3"/>
      <c r="G302" s="3"/>
      <c r="H302" s="21"/>
      <c r="I302" s="3"/>
      <c r="J302" s="3"/>
      <c r="K302" s="24"/>
      <c r="L302" s="24"/>
      <c r="M302" s="24"/>
      <c r="N302" s="24"/>
      <c r="O302" s="24"/>
      <c r="P302" s="24"/>
      <c r="R302" s="3"/>
      <c r="S302" s="3"/>
      <c r="T302" s="3"/>
      <c r="U302" s="3"/>
      <c r="V302" s="3"/>
    </row>
    <row r="303" spans="1:22">
      <c r="A303" s="2"/>
      <c r="B303" s="3"/>
      <c r="C303" s="3"/>
      <c r="D303" s="3"/>
      <c r="E303" s="3"/>
      <c r="F303" s="3"/>
      <c r="G303" s="3"/>
      <c r="H303" s="21"/>
      <c r="I303" s="3"/>
      <c r="J303" s="3"/>
      <c r="K303" s="24"/>
      <c r="L303" s="24"/>
      <c r="M303" s="24"/>
      <c r="N303" s="24"/>
      <c r="O303" s="24"/>
      <c r="P303" s="24"/>
      <c r="R303" s="3"/>
      <c r="S303" s="3"/>
      <c r="T303" s="3"/>
      <c r="U303" s="3"/>
      <c r="V303" s="3"/>
    </row>
    <row r="304" spans="1:22">
      <c r="A304" s="2"/>
      <c r="B304" s="3"/>
      <c r="C304" s="3"/>
      <c r="D304" s="3"/>
      <c r="E304" s="3"/>
      <c r="F304" s="3"/>
      <c r="G304" s="3"/>
      <c r="H304" s="21"/>
      <c r="I304" s="3"/>
      <c r="J304" s="3"/>
      <c r="K304" s="24"/>
      <c r="L304" s="24"/>
      <c r="M304" s="24"/>
      <c r="N304" s="24"/>
      <c r="O304" s="24"/>
      <c r="P304" s="24"/>
      <c r="R304" s="3"/>
      <c r="S304" s="3"/>
      <c r="T304" s="3"/>
      <c r="U304" s="3"/>
      <c r="V304" s="3"/>
    </row>
    <row r="305" spans="1:22">
      <c r="A305" s="2"/>
      <c r="B305" s="3"/>
      <c r="C305" s="3"/>
      <c r="D305" s="3"/>
      <c r="E305" s="3"/>
      <c r="F305" s="3"/>
      <c r="G305" s="3"/>
      <c r="H305" s="21"/>
      <c r="I305" s="3"/>
      <c r="J305" s="3"/>
      <c r="K305" s="24"/>
      <c r="L305" s="24"/>
      <c r="M305" s="24"/>
      <c r="N305" s="24"/>
      <c r="O305" s="24"/>
      <c r="P305" s="24"/>
      <c r="R305" s="3"/>
      <c r="S305" s="3"/>
      <c r="T305" s="3"/>
      <c r="U305" s="3"/>
      <c r="V305" s="3"/>
    </row>
    <row r="306" spans="1:22">
      <c r="A306" s="2"/>
      <c r="B306" s="3"/>
      <c r="C306" s="3"/>
      <c r="D306" s="3"/>
      <c r="E306" s="3"/>
      <c r="F306" s="3"/>
      <c r="G306" s="3"/>
      <c r="H306" s="21"/>
      <c r="I306" s="3"/>
      <c r="J306" s="3"/>
      <c r="K306" s="24"/>
      <c r="L306" s="24"/>
      <c r="M306" s="24"/>
      <c r="N306" s="24"/>
      <c r="O306" s="24"/>
      <c r="P306" s="24"/>
      <c r="R306" s="3"/>
      <c r="S306" s="3"/>
      <c r="T306" s="3"/>
      <c r="U306" s="3"/>
      <c r="V306" s="3"/>
    </row>
    <row r="307" spans="1:22">
      <c r="A307" s="2"/>
      <c r="B307" s="3"/>
      <c r="C307" s="3"/>
      <c r="D307" s="3"/>
      <c r="E307" s="3"/>
      <c r="F307" s="3"/>
      <c r="G307" s="3"/>
      <c r="H307" s="21"/>
      <c r="I307" s="3"/>
      <c r="J307" s="3"/>
      <c r="K307" s="24"/>
      <c r="L307" s="24"/>
      <c r="M307" s="24"/>
      <c r="N307" s="24"/>
      <c r="O307" s="24"/>
      <c r="P307" s="24"/>
      <c r="R307" s="3"/>
      <c r="S307" s="3"/>
      <c r="T307" s="3"/>
      <c r="U307" s="3"/>
      <c r="V307" s="3"/>
    </row>
    <row r="308" spans="1:22">
      <c r="A308" s="2"/>
      <c r="B308" s="3"/>
      <c r="C308" s="3"/>
      <c r="D308" s="3"/>
      <c r="E308" s="3"/>
      <c r="F308" s="3"/>
      <c r="G308" s="3"/>
      <c r="H308" s="21"/>
      <c r="I308" s="3"/>
      <c r="J308" s="3"/>
      <c r="K308" s="24"/>
      <c r="L308" s="24"/>
      <c r="M308" s="24"/>
      <c r="N308" s="24"/>
      <c r="O308" s="24"/>
      <c r="P308" s="24"/>
      <c r="R308" s="3"/>
      <c r="S308" s="3"/>
      <c r="T308" s="3"/>
      <c r="U308" s="3"/>
      <c r="V308" s="3"/>
    </row>
    <row r="309" spans="1:22">
      <c r="A309" s="2"/>
      <c r="B309" s="3"/>
      <c r="C309" s="3"/>
      <c r="D309" s="3"/>
      <c r="E309" s="3"/>
      <c r="F309" s="3"/>
      <c r="G309" s="3"/>
      <c r="H309" s="21"/>
      <c r="I309" s="3"/>
      <c r="J309" s="3"/>
      <c r="K309" s="24"/>
      <c r="L309" s="24"/>
      <c r="M309" s="24"/>
      <c r="N309" s="24"/>
      <c r="O309" s="24"/>
      <c r="P309" s="24"/>
      <c r="R309" s="3"/>
      <c r="S309" s="3"/>
      <c r="T309" s="3"/>
      <c r="U309" s="3"/>
      <c r="V309" s="3"/>
    </row>
    <row r="310" spans="1:22">
      <c r="A310" s="2"/>
      <c r="B310" s="3"/>
      <c r="C310" s="3"/>
      <c r="D310" s="3"/>
      <c r="E310" s="3"/>
      <c r="F310" s="3"/>
      <c r="G310" s="3"/>
      <c r="H310" s="21"/>
      <c r="I310" s="3"/>
      <c r="J310" s="3"/>
      <c r="K310" s="24"/>
      <c r="L310" s="24"/>
      <c r="M310" s="24"/>
      <c r="N310" s="24"/>
      <c r="O310" s="24"/>
      <c r="P310" s="24"/>
      <c r="R310" s="3"/>
      <c r="S310" s="3"/>
      <c r="T310" s="3"/>
      <c r="U310" s="3"/>
      <c r="V310" s="3"/>
    </row>
    <row r="311" spans="1:22">
      <c r="A311" s="2"/>
      <c r="B311" s="3"/>
      <c r="C311" s="3"/>
      <c r="D311" s="3"/>
      <c r="E311" s="3"/>
      <c r="F311" s="3"/>
      <c r="G311" s="3"/>
      <c r="H311" s="21"/>
      <c r="I311" s="3"/>
      <c r="J311" s="3"/>
      <c r="K311" s="24"/>
      <c r="L311" s="24"/>
      <c r="M311" s="24"/>
      <c r="N311" s="24"/>
      <c r="O311" s="24"/>
      <c r="P311" s="24"/>
      <c r="R311" s="3"/>
      <c r="S311" s="3"/>
      <c r="T311" s="3"/>
      <c r="U311" s="3"/>
      <c r="V311" s="3"/>
    </row>
    <row r="312" spans="1:22">
      <c r="A312" s="2"/>
      <c r="B312" s="3"/>
      <c r="C312" s="3"/>
      <c r="D312" s="3"/>
      <c r="E312" s="3"/>
      <c r="F312" s="3"/>
      <c r="G312" s="3"/>
      <c r="H312" s="21"/>
      <c r="I312" s="3"/>
      <c r="J312" s="3"/>
      <c r="K312" s="24"/>
      <c r="L312" s="24"/>
      <c r="M312" s="24"/>
      <c r="N312" s="24"/>
      <c r="O312" s="24"/>
      <c r="P312" s="24"/>
      <c r="R312" s="3"/>
      <c r="S312" s="3"/>
      <c r="T312" s="3"/>
      <c r="U312" s="3"/>
      <c r="V312" s="3"/>
    </row>
    <row r="313" spans="1:22">
      <c r="A313" s="2"/>
      <c r="B313" s="3"/>
      <c r="C313" s="3"/>
      <c r="D313" s="3"/>
      <c r="E313" s="3"/>
      <c r="F313" s="3"/>
      <c r="G313" s="3"/>
      <c r="H313" s="21"/>
      <c r="I313" s="3"/>
      <c r="J313" s="3"/>
      <c r="K313" s="24"/>
      <c r="L313" s="24"/>
      <c r="M313" s="24"/>
      <c r="N313" s="24"/>
      <c r="O313" s="24"/>
      <c r="P313" s="24"/>
      <c r="R313" s="3"/>
      <c r="S313" s="3"/>
      <c r="T313" s="3"/>
      <c r="U313" s="3"/>
      <c r="V313" s="3"/>
    </row>
    <row r="314" spans="1:22">
      <c r="A314" s="2"/>
      <c r="B314" s="3"/>
      <c r="C314" s="3"/>
      <c r="D314" s="3"/>
      <c r="E314" s="3"/>
      <c r="F314" s="3"/>
      <c r="G314" s="3"/>
      <c r="H314" s="21"/>
      <c r="I314" s="3"/>
      <c r="J314" s="3"/>
      <c r="K314" s="24"/>
      <c r="L314" s="24"/>
      <c r="M314" s="24"/>
      <c r="N314" s="24"/>
      <c r="O314" s="24"/>
      <c r="P314" s="24"/>
      <c r="R314" s="3"/>
      <c r="S314" s="3"/>
      <c r="T314" s="3"/>
      <c r="U314" s="3"/>
      <c r="V314" s="3"/>
    </row>
    <row r="315" spans="1:22">
      <c r="A315" s="2"/>
      <c r="B315" s="3"/>
      <c r="C315" s="3"/>
      <c r="D315" s="3"/>
      <c r="E315" s="3"/>
      <c r="F315" s="3"/>
      <c r="G315" s="3"/>
      <c r="H315" s="21"/>
      <c r="I315" s="3"/>
      <c r="J315" s="3"/>
      <c r="K315" s="24"/>
      <c r="L315" s="24"/>
      <c r="M315" s="24"/>
      <c r="N315" s="24"/>
      <c r="O315" s="24"/>
      <c r="P315" s="24"/>
      <c r="R315" s="3"/>
      <c r="S315" s="3"/>
      <c r="T315" s="3"/>
      <c r="U315" s="3"/>
      <c r="V315" s="3"/>
    </row>
    <row r="316" spans="1:22">
      <c r="A316" s="2"/>
      <c r="B316" s="3"/>
      <c r="C316" s="3"/>
      <c r="D316" s="3"/>
      <c r="E316" s="3"/>
      <c r="F316" s="3"/>
      <c r="G316" s="3"/>
      <c r="H316" s="21"/>
      <c r="I316" s="3"/>
      <c r="J316" s="3"/>
      <c r="K316" s="24"/>
      <c r="L316" s="24"/>
      <c r="M316" s="24"/>
      <c r="N316" s="24"/>
      <c r="O316" s="24"/>
      <c r="P316" s="24"/>
      <c r="R316" s="3"/>
      <c r="S316" s="3"/>
      <c r="T316" s="3"/>
      <c r="U316" s="3"/>
      <c r="V316" s="3"/>
    </row>
    <row r="317" spans="1:22">
      <c r="A317" s="2"/>
      <c r="B317" s="3"/>
      <c r="C317" s="3"/>
      <c r="D317" s="3"/>
      <c r="E317" s="3"/>
      <c r="F317" s="3"/>
      <c r="G317" s="3"/>
      <c r="H317" s="21"/>
      <c r="I317" s="3"/>
      <c r="J317" s="3"/>
      <c r="K317" s="24"/>
      <c r="L317" s="24"/>
      <c r="M317" s="24"/>
      <c r="N317" s="24"/>
      <c r="O317" s="24"/>
      <c r="P317" s="24"/>
      <c r="R317" s="3"/>
      <c r="S317" s="3"/>
      <c r="T317" s="3"/>
      <c r="U317" s="3"/>
      <c r="V317" s="3"/>
    </row>
    <row r="318" spans="1:22">
      <c r="A318" s="2"/>
      <c r="B318" s="3"/>
      <c r="C318" s="3"/>
      <c r="D318" s="3"/>
      <c r="E318" s="3"/>
      <c r="F318" s="3"/>
      <c r="G318" s="3"/>
      <c r="H318" s="21"/>
      <c r="I318" s="3"/>
      <c r="J318" s="3"/>
      <c r="K318" s="24"/>
      <c r="L318" s="24"/>
      <c r="M318" s="24"/>
      <c r="N318" s="24"/>
      <c r="O318" s="24"/>
      <c r="P318" s="24"/>
      <c r="R318" s="3"/>
      <c r="S318" s="3"/>
      <c r="T318" s="3"/>
      <c r="U318" s="3"/>
      <c r="V318" s="3"/>
    </row>
    <row r="319" spans="1:22">
      <c r="A319" s="2"/>
      <c r="B319" s="3"/>
      <c r="C319" s="3"/>
      <c r="D319" s="3"/>
      <c r="E319" s="3"/>
      <c r="F319" s="3"/>
      <c r="G319" s="3"/>
      <c r="H319" s="21"/>
      <c r="I319" s="3"/>
      <c r="J319" s="3"/>
      <c r="K319" s="24"/>
      <c r="L319" s="24"/>
      <c r="M319" s="24"/>
      <c r="N319" s="24"/>
      <c r="O319" s="24"/>
      <c r="P319" s="24"/>
      <c r="R319" s="3"/>
      <c r="S319" s="3"/>
      <c r="T319" s="3"/>
      <c r="U319" s="3"/>
      <c r="V319" s="3"/>
    </row>
    <row r="320" spans="1:22">
      <c r="A320" s="2"/>
      <c r="B320" s="3"/>
      <c r="C320" s="3"/>
      <c r="D320" s="3"/>
      <c r="E320" s="3"/>
      <c r="F320" s="3"/>
      <c r="G320" s="3"/>
      <c r="H320" s="21"/>
      <c r="I320" s="3"/>
      <c r="J320" s="3"/>
      <c r="K320" s="24"/>
      <c r="L320" s="24"/>
      <c r="M320" s="24"/>
      <c r="N320" s="24"/>
      <c r="O320" s="24"/>
      <c r="P320" s="24"/>
      <c r="R320" s="3"/>
      <c r="S320" s="3"/>
      <c r="T320" s="3"/>
      <c r="U320" s="3"/>
      <c r="V320" s="3"/>
    </row>
    <row r="321" spans="1:22">
      <c r="A321" s="2"/>
      <c r="B321" s="3"/>
      <c r="C321" s="3"/>
      <c r="D321" s="3"/>
      <c r="E321" s="3"/>
      <c r="F321" s="3"/>
      <c r="G321" s="3"/>
      <c r="H321" s="21"/>
      <c r="I321" s="3"/>
      <c r="J321" s="3"/>
      <c r="K321" s="24"/>
      <c r="L321" s="24"/>
      <c r="M321" s="24"/>
      <c r="N321" s="24"/>
      <c r="O321" s="24"/>
      <c r="P321" s="24"/>
      <c r="R321" s="3"/>
      <c r="S321" s="3"/>
      <c r="T321" s="3"/>
      <c r="U321" s="3"/>
      <c r="V321" s="3"/>
    </row>
    <row r="322" spans="1:22">
      <c r="A322" s="2"/>
      <c r="B322" s="3"/>
      <c r="C322" s="3"/>
      <c r="D322" s="3"/>
      <c r="E322" s="3"/>
      <c r="F322" s="3"/>
      <c r="G322" s="3"/>
      <c r="H322" s="21"/>
      <c r="I322" s="3"/>
      <c r="J322" s="3"/>
      <c r="K322" s="24"/>
      <c r="L322" s="24"/>
      <c r="M322" s="24"/>
      <c r="N322" s="24"/>
      <c r="O322" s="24"/>
      <c r="P322" s="24"/>
      <c r="R322" s="3"/>
      <c r="S322" s="3"/>
      <c r="T322" s="3"/>
      <c r="U322" s="3"/>
      <c r="V322" s="3"/>
    </row>
    <row r="323" spans="1:22">
      <c r="A323" s="2"/>
      <c r="B323" s="3"/>
      <c r="C323" s="3"/>
      <c r="D323" s="3"/>
      <c r="E323" s="3"/>
      <c r="F323" s="3"/>
      <c r="G323" s="3"/>
      <c r="H323" s="21"/>
      <c r="I323" s="3"/>
      <c r="J323" s="3"/>
      <c r="K323" s="24"/>
      <c r="L323" s="24"/>
      <c r="M323" s="24"/>
      <c r="N323" s="24"/>
      <c r="O323" s="24"/>
      <c r="P323" s="24"/>
      <c r="R323" s="3"/>
      <c r="S323" s="3"/>
      <c r="T323" s="3"/>
      <c r="U323" s="3"/>
      <c r="V323" s="3"/>
    </row>
    <row r="324" spans="1:22">
      <c r="A324" s="2"/>
      <c r="B324" s="3"/>
      <c r="C324" s="3"/>
      <c r="D324" s="3"/>
      <c r="E324" s="3"/>
      <c r="F324" s="3"/>
      <c r="G324" s="3"/>
      <c r="H324" s="21"/>
      <c r="I324" s="3"/>
      <c r="J324" s="3"/>
      <c r="K324" s="24"/>
      <c r="L324" s="24"/>
      <c r="M324" s="24"/>
      <c r="N324" s="24"/>
      <c r="O324" s="24"/>
      <c r="P324" s="24"/>
      <c r="R324" s="3"/>
      <c r="S324" s="3"/>
      <c r="T324" s="3"/>
      <c r="U324" s="3"/>
      <c r="V324" s="3"/>
    </row>
    <row r="325" spans="1:22">
      <c r="A325" s="2"/>
      <c r="B325" s="3"/>
      <c r="C325" s="3"/>
      <c r="D325" s="3"/>
      <c r="E325" s="3"/>
      <c r="F325" s="3"/>
      <c r="G325" s="3"/>
      <c r="H325" s="21"/>
      <c r="I325" s="3"/>
      <c r="J325" s="3"/>
      <c r="K325" s="24"/>
      <c r="L325" s="24"/>
      <c r="M325" s="24"/>
      <c r="N325" s="24"/>
      <c r="O325" s="24"/>
      <c r="P325" s="24"/>
      <c r="R325" s="3"/>
      <c r="S325" s="3"/>
      <c r="T325" s="3"/>
      <c r="U325" s="3"/>
      <c r="V325" s="3"/>
    </row>
    <row r="326" spans="1:22">
      <c r="A326" s="2"/>
      <c r="B326" s="3"/>
      <c r="C326" s="3"/>
      <c r="D326" s="3"/>
      <c r="E326" s="3"/>
      <c r="F326" s="3"/>
      <c r="G326" s="3"/>
      <c r="H326" s="21"/>
      <c r="I326" s="3"/>
      <c r="J326" s="3"/>
      <c r="K326" s="24"/>
      <c r="L326" s="24"/>
      <c r="M326" s="24"/>
      <c r="N326" s="24"/>
      <c r="O326" s="24"/>
      <c r="P326" s="24"/>
      <c r="R326" s="3"/>
      <c r="S326" s="3"/>
      <c r="T326" s="3"/>
      <c r="U326" s="3"/>
      <c r="V326" s="3"/>
    </row>
    <row r="327" spans="1:22">
      <c r="A327" s="2"/>
      <c r="B327" s="3"/>
      <c r="C327" s="3"/>
      <c r="D327" s="3"/>
      <c r="E327" s="3"/>
      <c r="F327" s="3"/>
      <c r="G327" s="3"/>
      <c r="H327" s="21"/>
      <c r="I327" s="3"/>
      <c r="J327" s="3"/>
      <c r="K327" s="24"/>
      <c r="L327" s="24"/>
      <c r="M327" s="24"/>
      <c r="N327" s="24"/>
      <c r="O327" s="24"/>
      <c r="P327" s="24"/>
      <c r="R327" s="3"/>
      <c r="S327" s="3"/>
      <c r="T327" s="3"/>
      <c r="U327" s="3"/>
      <c r="V327" s="3"/>
    </row>
    <row r="328" spans="1:22">
      <c r="A328" s="2"/>
      <c r="B328" s="3"/>
      <c r="C328" s="3"/>
      <c r="D328" s="3"/>
      <c r="E328" s="3"/>
      <c r="F328" s="3"/>
      <c r="G328" s="3"/>
      <c r="H328" s="21"/>
      <c r="I328" s="3"/>
      <c r="J328" s="3"/>
      <c r="K328" s="24"/>
      <c r="L328" s="24"/>
      <c r="M328" s="24"/>
      <c r="N328" s="24"/>
      <c r="O328" s="24"/>
      <c r="P328" s="24"/>
      <c r="R328" s="3"/>
      <c r="S328" s="3"/>
      <c r="T328" s="3"/>
      <c r="U328" s="3"/>
      <c r="V328" s="3"/>
    </row>
    <row r="329" spans="1:22">
      <c r="A329" s="2"/>
      <c r="B329" s="3"/>
      <c r="C329" s="3"/>
      <c r="D329" s="3"/>
      <c r="E329" s="3"/>
      <c r="F329" s="3"/>
      <c r="G329" s="3"/>
      <c r="H329" s="21"/>
      <c r="I329" s="3"/>
      <c r="J329" s="3"/>
      <c r="K329" s="24"/>
      <c r="L329" s="24"/>
      <c r="M329" s="24"/>
      <c r="N329" s="24"/>
      <c r="O329" s="24"/>
      <c r="P329" s="24"/>
      <c r="R329" s="3"/>
      <c r="S329" s="3"/>
      <c r="T329" s="3"/>
      <c r="U329" s="3"/>
      <c r="V329" s="3"/>
    </row>
    <row r="330" spans="1:22">
      <c r="A330" s="2"/>
      <c r="B330" s="3"/>
      <c r="C330" s="3"/>
      <c r="D330" s="3"/>
      <c r="E330" s="3"/>
      <c r="F330" s="3"/>
      <c r="G330" s="3"/>
      <c r="H330" s="21"/>
      <c r="I330" s="3"/>
      <c r="J330" s="3"/>
      <c r="K330" s="24"/>
      <c r="L330" s="24"/>
      <c r="M330" s="24"/>
      <c r="N330" s="24"/>
      <c r="O330" s="24"/>
      <c r="P330" s="24"/>
      <c r="R330" s="3"/>
      <c r="S330" s="3"/>
      <c r="T330" s="3"/>
      <c r="U330" s="3"/>
      <c r="V330" s="3"/>
    </row>
    <row r="331" spans="1:22">
      <c r="A331" s="2"/>
      <c r="B331" s="3"/>
      <c r="C331" s="3"/>
      <c r="D331" s="3"/>
      <c r="E331" s="3"/>
      <c r="F331" s="3"/>
      <c r="G331" s="3"/>
      <c r="H331" s="21"/>
      <c r="I331" s="3"/>
      <c r="J331" s="3"/>
      <c r="K331" s="24"/>
      <c r="L331" s="24"/>
      <c r="M331" s="24"/>
      <c r="N331" s="24"/>
      <c r="O331" s="24"/>
      <c r="P331" s="24"/>
      <c r="R331" s="3"/>
      <c r="S331" s="3"/>
      <c r="T331" s="3"/>
      <c r="U331" s="3"/>
      <c r="V331" s="3"/>
    </row>
    <row r="332" spans="1:22">
      <c r="A332" s="2"/>
      <c r="B332" s="3"/>
      <c r="C332" s="3"/>
      <c r="D332" s="3"/>
      <c r="E332" s="3"/>
      <c r="F332" s="3"/>
      <c r="G332" s="3"/>
      <c r="H332" s="21"/>
      <c r="I332" s="3"/>
      <c r="J332" s="3"/>
      <c r="K332" s="24"/>
      <c r="L332" s="24"/>
      <c r="M332" s="24"/>
      <c r="N332" s="24"/>
      <c r="O332" s="24"/>
      <c r="P332" s="24"/>
      <c r="R332" s="3"/>
      <c r="S332" s="3"/>
      <c r="T332" s="3"/>
      <c r="U332" s="3"/>
      <c r="V332" s="3"/>
    </row>
    <row r="333" spans="1:22">
      <c r="A333" s="2"/>
      <c r="B333" s="3"/>
      <c r="C333" s="3"/>
      <c r="D333" s="3"/>
      <c r="E333" s="3"/>
      <c r="F333" s="3"/>
      <c r="G333" s="3"/>
      <c r="H333" s="21"/>
      <c r="I333" s="3"/>
      <c r="J333" s="3"/>
      <c r="K333" s="24"/>
      <c r="L333" s="24"/>
      <c r="M333" s="24"/>
      <c r="N333" s="24"/>
      <c r="O333" s="24"/>
      <c r="P333" s="24"/>
      <c r="R333" s="3"/>
      <c r="S333" s="3"/>
      <c r="T333" s="3"/>
      <c r="U333" s="3"/>
      <c r="V333" s="3"/>
    </row>
    <row r="334" spans="1:22">
      <c r="A334" s="2"/>
      <c r="B334" s="3"/>
      <c r="C334" s="3"/>
      <c r="D334" s="3"/>
      <c r="E334" s="3"/>
      <c r="F334" s="3"/>
      <c r="G334" s="3"/>
      <c r="H334" s="21"/>
      <c r="I334" s="3"/>
      <c r="J334" s="3"/>
      <c r="K334" s="24"/>
      <c r="L334" s="24"/>
      <c r="M334" s="24"/>
      <c r="N334" s="24"/>
      <c r="O334" s="24"/>
      <c r="P334" s="24"/>
      <c r="R334" s="3"/>
      <c r="S334" s="3"/>
      <c r="T334" s="3"/>
      <c r="U334" s="3"/>
      <c r="V334" s="3"/>
    </row>
    <row r="335" spans="1:22">
      <c r="A335" s="2"/>
      <c r="B335" s="3"/>
      <c r="C335" s="3"/>
      <c r="D335" s="3"/>
      <c r="E335" s="3"/>
      <c r="F335" s="3"/>
      <c r="G335" s="3"/>
      <c r="H335" s="21"/>
      <c r="I335" s="3"/>
      <c r="J335" s="3"/>
      <c r="K335" s="24"/>
      <c r="L335" s="24"/>
      <c r="M335" s="24"/>
      <c r="N335" s="24"/>
      <c r="O335" s="24"/>
      <c r="P335" s="24"/>
      <c r="R335" s="3"/>
      <c r="S335" s="3"/>
      <c r="T335" s="3"/>
      <c r="U335" s="3"/>
      <c r="V335" s="3"/>
    </row>
    <row r="336" spans="1:22">
      <c r="A336" s="2"/>
      <c r="B336" s="3"/>
      <c r="C336" s="3"/>
      <c r="D336" s="3"/>
      <c r="E336" s="3"/>
      <c r="F336" s="3"/>
      <c r="G336" s="3"/>
      <c r="H336" s="21"/>
      <c r="I336" s="3"/>
      <c r="J336" s="3"/>
      <c r="K336" s="24"/>
      <c r="L336" s="24"/>
      <c r="M336" s="24"/>
      <c r="N336" s="24"/>
      <c r="O336" s="24"/>
      <c r="P336" s="24"/>
      <c r="R336" s="3"/>
      <c r="S336" s="3"/>
      <c r="T336" s="3"/>
      <c r="U336" s="3"/>
      <c r="V336" s="3"/>
    </row>
    <row r="337" spans="1:22">
      <c r="A337" s="2"/>
      <c r="B337" s="3"/>
      <c r="C337" s="3"/>
      <c r="D337" s="3"/>
      <c r="E337" s="3"/>
      <c r="F337" s="3"/>
      <c r="G337" s="3"/>
      <c r="H337" s="21"/>
      <c r="I337" s="3"/>
      <c r="J337" s="3"/>
      <c r="K337" s="24"/>
      <c r="L337" s="24"/>
      <c r="M337" s="24"/>
      <c r="N337" s="24"/>
      <c r="O337" s="24"/>
      <c r="P337" s="24"/>
      <c r="R337" s="3"/>
      <c r="S337" s="3"/>
      <c r="T337" s="3"/>
      <c r="U337" s="3"/>
      <c r="V337" s="3"/>
    </row>
    <row r="338" spans="1:22">
      <c r="A338" s="2"/>
      <c r="B338" s="3"/>
      <c r="C338" s="3"/>
      <c r="D338" s="3"/>
      <c r="E338" s="3"/>
      <c r="F338" s="3"/>
      <c r="G338" s="3"/>
      <c r="H338" s="21"/>
      <c r="I338" s="3"/>
      <c r="J338" s="3"/>
      <c r="K338" s="24"/>
      <c r="L338" s="24"/>
      <c r="M338" s="24"/>
      <c r="N338" s="24"/>
      <c r="O338" s="24"/>
      <c r="P338" s="24"/>
      <c r="R338" s="3"/>
      <c r="S338" s="3"/>
      <c r="T338" s="3"/>
      <c r="U338" s="3"/>
      <c r="V338" s="3"/>
    </row>
    <row r="339" spans="1:22">
      <c r="A339" s="2"/>
      <c r="B339" s="3"/>
      <c r="C339" s="3"/>
      <c r="D339" s="3"/>
      <c r="E339" s="3"/>
      <c r="F339" s="3"/>
      <c r="G339" s="3"/>
      <c r="H339" s="21"/>
      <c r="I339" s="3"/>
      <c r="J339" s="3"/>
      <c r="K339" s="24"/>
      <c r="L339" s="24"/>
      <c r="M339" s="24"/>
      <c r="N339" s="24"/>
      <c r="O339" s="24"/>
      <c r="P339" s="24"/>
      <c r="R339" s="3"/>
      <c r="S339" s="3"/>
      <c r="T339" s="3"/>
      <c r="U339" s="3"/>
      <c r="V339" s="3"/>
    </row>
    <row r="340" spans="1:22">
      <c r="A340" s="2"/>
      <c r="B340" s="3"/>
      <c r="C340" s="3"/>
      <c r="D340" s="3"/>
      <c r="E340" s="3"/>
      <c r="F340" s="3"/>
      <c r="G340" s="3"/>
      <c r="H340" s="21"/>
      <c r="I340" s="3"/>
      <c r="J340" s="3"/>
      <c r="K340" s="24"/>
      <c r="L340" s="24"/>
      <c r="M340" s="24"/>
      <c r="N340" s="24"/>
      <c r="O340" s="24"/>
      <c r="P340" s="24"/>
      <c r="R340" s="3"/>
      <c r="S340" s="3"/>
      <c r="T340" s="3"/>
      <c r="U340" s="3"/>
      <c r="V340" s="3"/>
    </row>
    <row r="341" spans="1:22">
      <c r="A341" s="2"/>
      <c r="B341" s="3"/>
      <c r="C341" s="3"/>
      <c r="D341" s="3"/>
      <c r="E341" s="3"/>
      <c r="F341" s="3"/>
      <c r="G341" s="3"/>
      <c r="H341" s="21"/>
      <c r="I341" s="3"/>
      <c r="J341" s="3"/>
      <c r="K341" s="24"/>
      <c r="L341" s="24"/>
      <c r="M341" s="24"/>
      <c r="N341" s="24"/>
      <c r="O341" s="24"/>
      <c r="P341" s="24"/>
      <c r="R341" s="3"/>
      <c r="S341" s="3"/>
      <c r="T341" s="3"/>
      <c r="U341" s="3"/>
      <c r="V341" s="3"/>
    </row>
    <row r="342" spans="1:22">
      <c r="A342" s="2"/>
      <c r="B342" s="3"/>
      <c r="C342" s="3"/>
      <c r="D342" s="3"/>
      <c r="E342" s="3"/>
      <c r="F342" s="3"/>
      <c r="G342" s="3"/>
      <c r="H342" s="21"/>
      <c r="I342" s="3"/>
      <c r="J342" s="3"/>
      <c r="K342" s="24"/>
      <c r="L342" s="24"/>
      <c r="M342" s="24"/>
      <c r="N342" s="24"/>
      <c r="O342" s="24"/>
      <c r="P342" s="24"/>
      <c r="R342" s="3"/>
      <c r="S342" s="3"/>
      <c r="T342" s="3"/>
      <c r="U342" s="3"/>
      <c r="V342" s="3"/>
    </row>
    <row r="343" spans="1:22">
      <c r="A343" s="2"/>
      <c r="B343" s="3"/>
      <c r="C343" s="3"/>
      <c r="D343" s="3"/>
      <c r="E343" s="3"/>
      <c r="F343" s="3"/>
      <c r="G343" s="3"/>
      <c r="H343" s="21"/>
      <c r="I343" s="3"/>
      <c r="J343" s="3"/>
      <c r="K343" s="24"/>
      <c r="L343" s="24"/>
      <c r="M343" s="24"/>
      <c r="N343" s="24"/>
      <c r="O343" s="24"/>
      <c r="P343" s="24"/>
      <c r="R343" s="3"/>
      <c r="S343" s="3"/>
      <c r="T343" s="3"/>
      <c r="U343" s="3"/>
      <c r="V343" s="3"/>
    </row>
    <row r="344" spans="1:22">
      <c r="A344" s="2"/>
      <c r="B344" s="3"/>
      <c r="C344" s="3"/>
      <c r="D344" s="3"/>
      <c r="E344" s="3"/>
      <c r="F344" s="3"/>
      <c r="G344" s="3"/>
      <c r="H344" s="21"/>
      <c r="I344" s="3"/>
      <c r="J344" s="3"/>
      <c r="K344" s="24"/>
      <c r="L344" s="24"/>
      <c r="M344" s="24"/>
      <c r="N344" s="24"/>
      <c r="O344" s="24"/>
      <c r="P344" s="24"/>
      <c r="R344" s="3"/>
      <c r="S344" s="3"/>
      <c r="T344" s="3"/>
      <c r="U344" s="3"/>
      <c r="V344" s="3"/>
    </row>
    <row r="345" spans="1:22">
      <c r="A345" s="2"/>
      <c r="B345" s="3"/>
      <c r="C345" s="3"/>
      <c r="D345" s="3"/>
      <c r="E345" s="3"/>
      <c r="F345" s="3"/>
      <c r="G345" s="3"/>
      <c r="H345" s="21"/>
      <c r="I345" s="3"/>
      <c r="J345" s="3"/>
      <c r="K345" s="24"/>
      <c r="L345" s="24"/>
      <c r="M345" s="24"/>
      <c r="N345" s="24"/>
      <c r="O345" s="24"/>
      <c r="P345" s="24"/>
      <c r="R345" s="3"/>
      <c r="S345" s="3"/>
      <c r="T345" s="3"/>
      <c r="U345" s="3"/>
      <c r="V345" s="3"/>
    </row>
    <row r="346" spans="1:22">
      <c r="A346" s="2"/>
      <c r="B346" s="3"/>
      <c r="C346" s="3"/>
      <c r="D346" s="3"/>
      <c r="E346" s="3"/>
      <c r="F346" s="3"/>
      <c r="G346" s="3"/>
      <c r="H346" s="21"/>
      <c r="I346" s="3"/>
      <c r="J346" s="3"/>
      <c r="K346" s="24"/>
      <c r="L346" s="24"/>
      <c r="M346" s="24"/>
      <c r="N346" s="24"/>
      <c r="O346" s="24"/>
      <c r="P346" s="24"/>
      <c r="R346" s="3"/>
      <c r="S346" s="3"/>
      <c r="T346" s="3"/>
      <c r="U346" s="3"/>
      <c r="V346" s="3"/>
    </row>
    <row r="347" spans="1:22">
      <c r="A347" s="2"/>
      <c r="B347" s="3"/>
      <c r="C347" s="3"/>
      <c r="D347" s="3"/>
      <c r="E347" s="3"/>
      <c r="F347" s="3"/>
      <c r="G347" s="3"/>
      <c r="H347" s="21"/>
      <c r="I347" s="3"/>
      <c r="J347" s="3"/>
      <c r="K347" s="24"/>
      <c r="L347" s="24"/>
      <c r="M347" s="24"/>
      <c r="N347" s="24"/>
      <c r="O347" s="24"/>
      <c r="P347" s="24"/>
      <c r="R347" s="3"/>
      <c r="S347" s="3"/>
      <c r="T347" s="3"/>
      <c r="U347" s="3"/>
      <c r="V347" s="3"/>
    </row>
    <row r="348" spans="1:22">
      <c r="A348" s="2"/>
      <c r="B348" s="3"/>
      <c r="C348" s="3"/>
      <c r="D348" s="3"/>
      <c r="E348" s="3"/>
      <c r="F348" s="3"/>
      <c r="G348" s="3"/>
      <c r="H348" s="21"/>
      <c r="I348" s="3"/>
      <c r="J348" s="3"/>
      <c r="K348" s="24"/>
      <c r="L348" s="24"/>
      <c r="M348" s="24"/>
      <c r="N348" s="24"/>
      <c r="O348" s="24"/>
      <c r="P348" s="24"/>
      <c r="R348" s="3"/>
      <c r="S348" s="3"/>
      <c r="T348" s="3"/>
      <c r="U348" s="3"/>
      <c r="V348" s="3"/>
    </row>
    <row r="349" spans="1:22">
      <c r="A349" s="2"/>
      <c r="B349" s="3"/>
      <c r="C349" s="3"/>
      <c r="D349" s="3"/>
      <c r="E349" s="3"/>
      <c r="F349" s="3"/>
      <c r="G349" s="3"/>
      <c r="H349" s="21"/>
      <c r="I349" s="3"/>
      <c r="J349" s="3"/>
      <c r="K349" s="24"/>
      <c r="L349" s="24"/>
      <c r="M349" s="24"/>
      <c r="N349" s="24"/>
      <c r="O349" s="24"/>
      <c r="P349" s="24"/>
      <c r="R349" s="3"/>
      <c r="S349" s="3"/>
      <c r="T349" s="3"/>
      <c r="U349" s="3"/>
      <c r="V349" s="3"/>
    </row>
    <row r="350" spans="1:22">
      <c r="A350" s="2"/>
      <c r="B350" s="3"/>
      <c r="C350" s="3"/>
      <c r="D350" s="3"/>
      <c r="E350" s="3"/>
      <c r="F350" s="3"/>
      <c r="G350" s="3"/>
      <c r="H350" s="21"/>
      <c r="I350" s="3"/>
      <c r="J350" s="3"/>
      <c r="K350" s="24"/>
      <c r="L350" s="24"/>
      <c r="M350" s="24"/>
      <c r="N350" s="24"/>
      <c r="O350" s="24"/>
      <c r="P350" s="24"/>
      <c r="R350" s="3"/>
      <c r="S350" s="3"/>
      <c r="T350" s="3"/>
      <c r="U350" s="3"/>
      <c r="V350" s="3"/>
    </row>
    <row r="351" spans="1:22">
      <c r="A351" s="2"/>
      <c r="B351" s="3"/>
      <c r="C351" s="3"/>
      <c r="D351" s="3"/>
      <c r="E351" s="3"/>
      <c r="F351" s="3"/>
      <c r="G351" s="3"/>
      <c r="H351" s="21"/>
      <c r="I351" s="3"/>
      <c r="J351" s="3"/>
      <c r="K351" s="24"/>
      <c r="L351" s="24"/>
      <c r="M351" s="24"/>
      <c r="N351" s="24"/>
      <c r="O351" s="24"/>
      <c r="P351" s="24"/>
      <c r="R351" s="3"/>
      <c r="S351" s="3"/>
      <c r="T351" s="3"/>
      <c r="U351" s="3"/>
      <c r="V351" s="3"/>
    </row>
    <row r="352" spans="1:22">
      <c r="A352" s="2"/>
      <c r="B352" s="3"/>
      <c r="C352" s="3"/>
      <c r="D352" s="3"/>
      <c r="E352" s="3"/>
      <c r="F352" s="3"/>
      <c r="G352" s="3"/>
      <c r="H352" s="21"/>
      <c r="I352" s="3"/>
      <c r="J352" s="3"/>
      <c r="K352" s="24"/>
      <c r="L352" s="24"/>
      <c r="M352" s="24"/>
      <c r="N352" s="24"/>
      <c r="O352" s="24"/>
      <c r="P352" s="24"/>
      <c r="R352" s="3"/>
      <c r="S352" s="3"/>
      <c r="T352" s="3"/>
      <c r="U352" s="3"/>
      <c r="V352" s="3"/>
    </row>
    <row r="353" spans="1:22">
      <c r="A353" s="2"/>
      <c r="B353" s="3"/>
      <c r="C353" s="3"/>
      <c r="D353" s="3"/>
      <c r="E353" s="3"/>
      <c r="F353" s="3"/>
      <c r="G353" s="3"/>
      <c r="H353" s="21"/>
      <c r="I353" s="3"/>
      <c r="J353" s="3"/>
      <c r="K353" s="24"/>
      <c r="L353" s="24"/>
      <c r="M353" s="24"/>
      <c r="N353" s="24"/>
      <c r="O353" s="24"/>
      <c r="P353" s="24"/>
      <c r="R353" s="3"/>
      <c r="S353" s="3"/>
      <c r="T353" s="3"/>
      <c r="U353" s="3"/>
      <c r="V353" s="3"/>
    </row>
    <row r="354" spans="1:22">
      <c r="A354" s="2"/>
      <c r="B354" s="3"/>
      <c r="C354" s="3"/>
      <c r="D354" s="3"/>
      <c r="E354" s="3"/>
      <c r="F354" s="3"/>
      <c r="G354" s="3"/>
      <c r="H354" s="21"/>
      <c r="I354" s="3"/>
      <c r="J354" s="3"/>
      <c r="K354" s="24"/>
      <c r="L354" s="24"/>
      <c r="M354" s="24"/>
      <c r="N354" s="24"/>
      <c r="O354" s="24"/>
      <c r="P354" s="24"/>
      <c r="R354" s="3"/>
      <c r="S354" s="3"/>
      <c r="T354" s="3"/>
      <c r="U354" s="3"/>
      <c r="V354" s="3"/>
    </row>
    <row r="355" spans="1:22">
      <c r="A355" s="2"/>
      <c r="B355" s="3"/>
      <c r="C355" s="3"/>
      <c r="D355" s="3"/>
      <c r="E355" s="3"/>
      <c r="F355" s="3"/>
      <c r="G355" s="3"/>
      <c r="H355" s="21"/>
      <c r="I355" s="3"/>
      <c r="J355" s="3"/>
      <c r="K355" s="24"/>
      <c r="L355" s="24"/>
      <c r="M355" s="24"/>
      <c r="N355" s="24"/>
      <c r="O355" s="24"/>
      <c r="P355" s="24"/>
      <c r="R355" s="3"/>
      <c r="S355" s="3"/>
      <c r="T355" s="3"/>
      <c r="U355" s="3"/>
      <c r="V355" s="3"/>
    </row>
    <row r="356" spans="1:22">
      <c r="A356" s="2"/>
      <c r="B356" s="3"/>
      <c r="C356" s="3"/>
      <c r="D356" s="3"/>
      <c r="E356" s="3"/>
      <c r="F356" s="3"/>
      <c r="G356" s="3"/>
      <c r="H356" s="21"/>
      <c r="I356" s="3"/>
      <c r="J356" s="3"/>
      <c r="K356" s="24"/>
      <c r="L356" s="24"/>
      <c r="M356" s="24"/>
      <c r="N356" s="24"/>
      <c r="O356" s="24"/>
      <c r="P356" s="24"/>
      <c r="R356" s="3"/>
      <c r="S356" s="3"/>
      <c r="T356" s="3"/>
      <c r="U356" s="3"/>
      <c r="V356" s="3"/>
    </row>
    <row r="357" spans="1:22">
      <c r="A357" s="2"/>
      <c r="B357" s="3"/>
      <c r="C357" s="3"/>
      <c r="D357" s="3"/>
      <c r="E357" s="3"/>
      <c r="F357" s="3"/>
      <c r="G357" s="3"/>
      <c r="H357" s="21"/>
      <c r="I357" s="3"/>
      <c r="J357" s="3"/>
      <c r="K357" s="24"/>
      <c r="L357" s="24"/>
      <c r="M357" s="24"/>
      <c r="N357" s="24"/>
      <c r="O357" s="24"/>
      <c r="P357" s="24"/>
      <c r="R357" s="3"/>
      <c r="S357" s="3"/>
      <c r="T357" s="3"/>
      <c r="U357" s="3"/>
      <c r="V357" s="3"/>
    </row>
    <row r="358" spans="1:22">
      <c r="A358" s="2"/>
      <c r="B358" s="3"/>
      <c r="C358" s="3"/>
      <c r="D358" s="3"/>
      <c r="E358" s="3"/>
      <c r="F358" s="3"/>
      <c r="G358" s="3"/>
      <c r="H358" s="21"/>
      <c r="I358" s="3"/>
      <c r="J358" s="3"/>
      <c r="K358" s="24"/>
      <c r="L358" s="24"/>
      <c r="M358" s="24"/>
      <c r="N358" s="24"/>
      <c r="O358" s="24"/>
      <c r="P358" s="24"/>
      <c r="R358" s="3"/>
      <c r="S358" s="3"/>
      <c r="T358" s="3"/>
      <c r="U358" s="3"/>
      <c r="V358" s="3"/>
    </row>
    <row r="359" spans="1:22">
      <c r="A359" s="2"/>
      <c r="B359" s="3"/>
      <c r="C359" s="3"/>
      <c r="D359" s="3"/>
      <c r="E359" s="3"/>
      <c r="F359" s="3"/>
      <c r="G359" s="3"/>
      <c r="H359" s="21"/>
      <c r="I359" s="3"/>
      <c r="J359" s="3"/>
      <c r="K359" s="24"/>
      <c r="L359" s="24"/>
      <c r="M359" s="24"/>
      <c r="N359" s="24"/>
      <c r="O359" s="24"/>
      <c r="P359" s="24"/>
      <c r="R359" s="3"/>
      <c r="S359" s="3"/>
      <c r="T359" s="3"/>
      <c r="U359" s="3"/>
      <c r="V359" s="3"/>
    </row>
    <row r="360" spans="1:22">
      <c r="A360" s="2"/>
      <c r="B360" s="3"/>
      <c r="C360" s="3"/>
      <c r="D360" s="3"/>
      <c r="E360" s="3"/>
      <c r="F360" s="3"/>
      <c r="G360" s="3"/>
      <c r="H360" s="21"/>
      <c r="I360" s="3"/>
      <c r="J360" s="3"/>
      <c r="K360" s="24"/>
      <c r="L360" s="24"/>
      <c r="M360" s="24"/>
      <c r="N360" s="24"/>
      <c r="O360" s="24"/>
      <c r="P360" s="24"/>
      <c r="R360" s="3"/>
      <c r="S360" s="3"/>
      <c r="T360" s="3"/>
      <c r="U360" s="3"/>
      <c r="V360" s="3"/>
    </row>
    <row r="361" spans="1:22">
      <c r="A361" s="2"/>
      <c r="B361" s="3"/>
      <c r="C361" s="3"/>
      <c r="D361" s="3"/>
      <c r="E361" s="3"/>
      <c r="F361" s="3"/>
      <c r="G361" s="3"/>
      <c r="H361" s="21"/>
      <c r="I361" s="3"/>
      <c r="J361" s="3"/>
      <c r="K361" s="24"/>
      <c r="L361" s="24"/>
      <c r="M361" s="24"/>
      <c r="N361" s="24"/>
      <c r="O361" s="24"/>
      <c r="P361" s="24"/>
      <c r="R361" s="3"/>
      <c r="S361" s="3"/>
      <c r="T361" s="3"/>
      <c r="U361" s="3"/>
      <c r="V361" s="3"/>
    </row>
    <row r="362" spans="1:22">
      <c r="A362" s="2"/>
      <c r="B362" s="3"/>
      <c r="C362" s="3"/>
      <c r="D362" s="3"/>
      <c r="E362" s="3"/>
      <c r="F362" s="3"/>
      <c r="G362" s="3"/>
      <c r="H362" s="21"/>
      <c r="I362" s="3"/>
      <c r="J362" s="3"/>
      <c r="K362" s="24"/>
      <c r="L362" s="24"/>
      <c r="M362" s="24"/>
      <c r="N362" s="24"/>
      <c r="O362" s="24"/>
      <c r="P362" s="24"/>
      <c r="R362" s="3"/>
      <c r="S362" s="3"/>
      <c r="T362" s="3"/>
      <c r="U362" s="3"/>
      <c r="V362" s="3"/>
    </row>
    <row r="363" spans="1:22">
      <c r="A363" s="2"/>
      <c r="B363" s="3"/>
      <c r="C363" s="3"/>
      <c r="D363" s="3"/>
      <c r="E363" s="3"/>
      <c r="F363" s="3"/>
      <c r="G363" s="3"/>
      <c r="H363" s="21"/>
      <c r="I363" s="3"/>
      <c r="J363" s="3"/>
      <c r="K363" s="24"/>
      <c r="L363" s="24"/>
      <c r="M363" s="24"/>
      <c r="N363" s="24"/>
      <c r="O363" s="24"/>
      <c r="P363" s="24"/>
      <c r="R363" s="3"/>
      <c r="S363" s="3"/>
      <c r="T363" s="3"/>
      <c r="U363" s="3"/>
      <c r="V363" s="3"/>
    </row>
    <row r="364" spans="1:22">
      <c r="A364" s="2"/>
      <c r="B364" s="3"/>
      <c r="C364" s="3"/>
      <c r="D364" s="3"/>
      <c r="E364" s="3"/>
      <c r="F364" s="3"/>
      <c r="G364" s="3"/>
      <c r="H364" s="21"/>
      <c r="I364" s="3"/>
      <c r="J364" s="3"/>
      <c r="K364" s="24"/>
      <c r="L364" s="24"/>
      <c r="M364" s="24"/>
      <c r="N364" s="24"/>
      <c r="O364" s="24"/>
      <c r="P364" s="24"/>
      <c r="R364" s="3"/>
      <c r="S364" s="3"/>
      <c r="T364" s="3"/>
      <c r="U364" s="3"/>
      <c r="V364" s="3"/>
    </row>
    <row r="365" spans="1:22">
      <c r="A365" s="2"/>
      <c r="B365" s="3"/>
      <c r="C365" s="3"/>
      <c r="D365" s="3"/>
      <c r="E365" s="3"/>
      <c r="F365" s="3"/>
      <c r="G365" s="3"/>
      <c r="H365" s="21"/>
      <c r="I365" s="3"/>
      <c r="J365" s="3"/>
      <c r="K365" s="24"/>
      <c r="L365" s="24"/>
      <c r="M365" s="24"/>
      <c r="N365" s="24"/>
      <c r="O365" s="24"/>
      <c r="P365" s="24"/>
      <c r="R365" s="3"/>
      <c r="S365" s="3"/>
      <c r="T365" s="3"/>
      <c r="U365" s="3"/>
      <c r="V365" s="3"/>
    </row>
    <row r="366" spans="1:22">
      <c r="A366" s="2"/>
      <c r="B366" s="3"/>
      <c r="C366" s="3"/>
      <c r="D366" s="3"/>
      <c r="E366" s="3"/>
      <c r="F366" s="3"/>
      <c r="G366" s="3"/>
      <c r="H366" s="21"/>
      <c r="I366" s="3"/>
      <c r="J366" s="3"/>
      <c r="K366" s="24"/>
      <c r="L366" s="24"/>
      <c r="M366" s="24"/>
      <c r="N366" s="24"/>
      <c r="O366" s="24"/>
      <c r="P366" s="24"/>
      <c r="R366" s="3"/>
      <c r="S366" s="3"/>
      <c r="T366" s="3"/>
      <c r="U366" s="3"/>
      <c r="V366" s="3"/>
    </row>
    <row r="367" spans="1:22">
      <c r="A367" s="2"/>
      <c r="B367" s="3"/>
      <c r="C367" s="3"/>
      <c r="D367" s="3"/>
      <c r="E367" s="3"/>
      <c r="F367" s="3"/>
      <c r="G367" s="3"/>
      <c r="H367" s="21"/>
      <c r="I367" s="3"/>
      <c r="J367" s="3"/>
      <c r="K367" s="24"/>
      <c r="L367" s="24"/>
      <c r="M367" s="24"/>
      <c r="N367" s="24"/>
      <c r="O367" s="24"/>
      <c r="P367" s="24"/>
      <c r="R367" s="3"/>
      <c r="S367" s="3"/>
      <c r="T367" s="3"/>
      <c r="U367" s="3"/>
      <c r="V367" s="3"/>
    </row>
    <row r="368" spans="1:22">
      <c r="A368" s="2"/>
      <c r="B368" s="3"/>
      <c r="C368" s="3"/>
      <c r="D368" s="3"/>
      <c r="E368" s="3"/>
      <c r="F368" s="3"/>
      <c r="G368" s="3"/>
      <c r="H368" s="21"/>
      <c r="I368" s="3"/>
      <c r="J368" s="3"/>
      <c r="K368" s="24"/>
      <c r="L368" s="24"/>
      <c r="M368" s="24"/>
      <c r="N368" s="24"/>
      <c r="O368" s="24"/>
      <c r="P368" s="24"/>
      <c r="R368" s="3"/>
      <c r="S368" s="3"/>
      <c r="T368" s="3"/>
      <c r="U368" s="3"/>
      <c r="V368" s="3"/>
    </row>
    <row r="369" spans="1:22">
      <c r="A369" s="2"/>
      <c r="B369" s="3"/>
      <c r="C369" s="3"/>
      <c r="D369" s="3"/>
      <c r="E369" s="3"/>
      <c r="F369" s="3"/>
      <c r="G369" s="3"/>
      <c r="H369" s="21"/>
      <c r="I369" s="3"/>
      <c r="J369" s="3"/>
      <c r="K369" s="24"/>
      <c r="L369" s="24"/>
      <c r="M369" s="24"/>
      <c r="N369" s="24"/>
      <c r="O369" s="24"/>
      <c r="P369" s="24"/>
      <c r="R369" s="3"/>
      <c r="S369" s="3"/>
      <c r="T369" s="3"/>
      <c r="U369" s="3"/>
      <c r="V369" s="3"/>
    </row>
    <row r="370" spans="1:22">
      <c r="A370" s="2"/>
      <c r="B370" s="3"/>
      <c r="C370" s="3"/>
      <c r="D370" s="3"/>
      <c r="E370" s="3"/>
      <c r="F370" s="3"/>
      <c r="G370" s="3"/>
      <c r="H370" s="21"/>
      <c r="I370" s="3"/>
      <c r="J370" s="3"/>
      <c r="K370" s="24"/>
      <c r="L370" s="24"/>
      <c r="M370" s="24"/>
      <c r="N370" s="24"/>
      <c r="O370" s="24"/>
      <c r="P370" s="24"/>
      <c r="R370" s="3"/>
      <c r="S370" s="3"/>
      <c r="T370" s="3"/>
      <c r="U370" s="3"/>
      <c r="V370" s="3"/>
    </row>
    <row r="371" spans="1:22">
      <c r="A371" s="2"/>
      <c r="B371" s="3"/>
      <c r="C371" s="3"/>
      <c r="D371" s="3"/>
      <c r="E371" s="3"/>
      <c r="F371" s="3"/>
      <c r="G371" s="3"/>
      <c r="H371" s="21"/>
      <c r="I371" s="3"/>
      <c r="J371" s="3"/>
      <c r="K371" s="24"/>
      <c r="L371" s="24"/>
      <c r="M371" s="24"/>
      <c r="N371" s="24"/>
      <c r="O371" s="24"/>
      <c r="P371" s="24"/>
      <c r="R371" s="3"/>
      <c r="S371" s="3"/>
      <c r="T371" s="3"/>
      <c r="U371" s="3"/>
      <c r="V371" s="3"/>
    </row>
    <row r="372" spans="1:22">
      <c r="A372" s="2"/>
      <c r="B372" s="3"/>
      <c r="C372" s="3"/>
      <c r="D372" s="3"/>
      <c r="E372" s="3"/>
      <c r="F372" s="3"/>
      <c r="G372" s="3"/>
      <c r="H372" s="21"/>
      <c r="I372" s="3"/>
      <c r="J372" s="3"/>
      <c r="K372" s="24"/>
      <c r="L372" s="24"/>
      <c r="M372" s="24"/>
      <c r="N372" s="24"/>
      <c r="O372" s="24"/>
      <c r="P372" s="24"/>
      <c r="R372" s="3"/>
      <c r="S372" s="3"/>
      <c r="T372" s="3"/>
      <c r="U372" s="3"/>
      <c r="V372" s="3"/>
    </row>
    <row r="373" spans="1:22">
      <c r="A373" s="2"/>
      <c r="B373" s="3"/>
      <c r="C373" s="3"/>
      <c r="D373" s="3"/>
      <c r="E373" s="3"/>
      <c r="F373" s="3"/>
      <c r="G373" s="3"/>
      <c r="H373" s="21"/>
      <c r="I373" s="3"/>
      <c r="J373" s="3"/>
      <c r="K373" s="24"/>
      <c r="L373" s="24"/>
      <c r="M373" s="24"/>
      <c r="N373" s="24"/>
      <c r="O373" s="24"/>
      <c r="P373" s="24"/>
      <c r="R373" s="3"/>
      <c r="S373" s="3"/>
      <c r="T373" s="3"/>
      <c r="U373" s="3"/>
      <c r="V373" s="3"/>
    </row>
    <row r="374" spans="1:22">
      <c r="A374" s="2"/>
      <c r="B374" s="3"/>
      <c r="C374" s="3"/>
      <c r="D374" s="3"/>
      <c r="E374" s="3"/>
      <c r="F374" s="3"/>
      <c r="G374" s="3"/>
      <c r="H374" s="21"/>
      <c r="I374" s="3"/>
      <c r="J374" s="3"/>
      <c r="K374" s="24"/>
      <c r="L374" s="24"/>
      <c r="M374" s="24"/>
      <c r="N374" s="24"/>
      <c r="O374" s="24"/>
      <c r="P374" s="24"/>
      <c r="R374" s="3"/>
      <c r="S374" s="3"/>
      <c r="T374" s="3"/>
      <c r="U374" s="3"/>
      <c r="V374" s="3"/>
    </row>
    <row r="375" spans="1:22">
      <c r="A375" s="2"/>
      <c r="B375" s="3"/>
      <c r="C375" s="3"/>
      <c r="D375" s="3"/>
      <c r="E375" s="3"/>
      <c r="F375" s="3"/>
      <c r="G375" s="3"/>
      <c r="H375" s="21"/>
      <c r="I375" s="3"/>
      <c r="J375" s="3"/>
      <c r="K375" s="24"/>
      <c r="L375" s="24"/>
      <c r="M375" s="24"/>
      <c r="N375" s="24"/>
      <c r="O375" s="24"/>
      <c r="P375" s="24"/>
      <c r="R375" s="3"/>
      <c r="S375" s="3"/>
      <c r="T375" s="3"/>
      <c r="U375" s="3"/>
      <c r="V375" s="3"/>
    </row>
    <row r="376" spans="1:22">
      <c r="A376" s="2"/>
      <c r="B376" s="3"/>
      <c r="C376" s="3"/>
      <c r="D376" s="3"/>
      <c r="E376" s="3"/>
      <c r="F376" s="3"/>
      <c r="G376" s="3"/>
      <c r="H376" s="21"/>
      <c r="I376" s="3"/>
      <c r="J376" s="3"/>
      <c r="K376" s="24"/>
      <c r="L376" s="24"/>
      <c r="M376" s="24"/>
      <c r="N376" s="24"/>
      <c r="O376" s="24"/>
      <c r="P376" s="24"/>
      <c r="R376" s="3"/>
      <c r="S376" s="3"/>
      <c r="T376" s="3"/>
      <c r="U376" s="3"/>
      <c r="V376" s="3"/>
    </row>
    <row r="377" spans="1:22">
      <c r="A377" s="2"/>
      <c r="B377" s="3"/>
      <c r="C377" s="3"/>
      <c r="D377" s="3"/>
      <c r="E377" s="3"/>
      <c r="F377" s="3"/>
      <c r="G377" s="3"/>
      <c r="H377" s="21"/>
      <c r="I377" s="3"/>
      <c r="J377" s="3"/>
      <c r="K377" s="24"/>
      <c r="L377" s="24"/>
      <c r="M377" s="24"/>
      <c r="N377" s="24"/>
      <c r="O377" s="24"/>
      <c r="P377" s="24"/>
      <c r="R377" s="3"/>
      <c r="S377" s="3"/>
      <c r="T377" s="3"/>
      <c r="U377" s="3"/>
      <c r="V377" s="3"/>
    </row>
    <row r="378" spans="1:22">
      <c r="A378" s="2"/>
      <c r="B378" s="3"/>
      <c r="C378" s="3"/>
      <c r="D378" s="3"/>
      <c r="E378" s="3"/>
      <c r="F378" s="3"/>
      <c r="G378" s="3"/>
      <c r="H378" s="21"/>
      <c r="I378" s="3"/>
      <c r="J378" s="3"/>
      <c r="K378" s="24"/>
      <c r="L378" s="24"/>
      <c r="M378" s="24"/>
      <c r="N378" s="24"/>
      <c r="O378" s="24"/>
      <c r="P378" s="24"/>
      <c r="R378" s="3"/>
      <c r="S378" s="3"/>
      <c r="T378" s="3"/>
      <c r="U378" s="3"/>
      <c r="V378" s="3"/>
    </row>
    <row r="379" spans="1:22">
      <c r="A379" s="2"/>
      <c r="B379" s="3"/>
      <c r="C379" s="3"/>
      <c r="D379" s="3"/>
      <c r="E379" s="3"/>
      <c r="F379" s="3"/>
      <c r="G379" s="3"/>
      <c r="H379" s="21"/>
      <c r="I379" s="3"/>
      <c r="J379" s="3"/>
      <c r="K379" s="24"/>
      <c r="L379" s="24"/>
      <c r="M379" s="24"/>
      <c r="N379" s="24"/>
      <c r="O379" s="24"/>
      <c r="P379" s="24"/>
      <c r="R379" s="3"/>
      <c r="S379" s="3"/>
      <c r="T379" s="3"/>
      <c r="U379" s="3"/>
      <c r="V379" s="3"/>
    </row>
    <row r="380" spans="1:22">
      <c r="A380" s="2"/>
      <c r="B380" s="3"/>
      <c r="C380" s="3"/>
      <c r="D380" s="3"/>
      <c r="E380" s="3"/>
      <c r="F380" s="3"/>
      <c r="G380" s="3"/>
      <c r="H380" s="21"/>
      <c r="I380" s="3"/>
      <c r="J380" s="3"/>
      <c r="K380" s="24"/>
      <c r="L380" s="24"/>
      <c r="M380" s="24"/>
      <c r="N380" s="24"/>
      <c r="O380" s="24"/>
      <c r="P380" s="24"/>
      <c r="R380" s="3"/>
      <c r="S380" s="3"/>
      <c r="T380" s="3"/>
      <c r="U380" s="3"/>
      <c r="V380" s="3"/>
    </row>
    <row r="381" spans="1:22">
      <c r="A381" s="2"/>
      <c r="B381" s="3"/>
      <c r="C381" s="3"/>
      <c r="D381" s="3"/>
      <c r="E381" s="3"/>
      <c r="F381" s="3"/>
      <c r="G381" s="3"/>
      <c r="H381" s="21"/>
      <c r="I381" s="3"/>
      <c r="J381" s="3"/>
      <c r="K381" s="24"/>
      <c r="L381" s="24"/>
      <c r="M381" s="24"/>
      <c r="N381" s="24"/>
      <c r="O381" s="24"/>
      <c r="P381" s="24"/>
      <c r="R381" s="3"/>
      <c r="S381" s="3"/>
      <c r="T381" s="3"/>
      <c r="U381" s="3"/>
      <c r="V381" s="3"/>
    </row>
    <row r="382" spans="1:22">
      <c r="A382" s="2"/>
      <c r="B382" s="3"/>
      <c r="C382" s="3"/>
      <c r="D382" s="3"/>
      <c r="E382" s="3"/>
      <c r="F382" s="3"/>
      <c r="G382" s="3"/>
      <c r="H382" s="21"/>
      <c r="I382" s="3"/>
      <c r="J382" s="3"/>
      <c r="K382" s="24"/>
      <c r="L382" s="24"/>
      <c r="M382" s="24"/>
      <c r="N382" s="24"/>
      <c r="O382" s="24"/>
      <c r="P382" s="24"/>
      <c r="R382" s="3"/>
      <c r="S382" s="3"/>
      <c r="T382" s="3"/>
      <c r="U382" s="3"/>
      <c r="V382" s="3"/>
    </row>
    <row r="383" spans="1:22">
      <c r="A383" s="2"/>
      <c r="B383" s="3"/>
      <c r="C383" s="3"/>
      <c r="D383" s="3"/>
      <c r="E383" s="3"/>
      <c r="F383" s="3"/>
      <c r="G383" s="3"/>
      <c r="H383" s="21"/>
      <c r="I383" s="3"/>
      <c r="J383" s="3"/>
      <c r="K383" s="24"/>
      <c r="L383" s="24"/>
      <c r="M383" s="24"/>
      <c r="N383" s="24"/>
      <c r="O383" s="24"/>
      <c r="P383" s="24"/>
      <c r="R383" s="3"/>
      <c r="S383" s="3"/>
      <c r="T383" s="3"/>
      <c r="U383" s="3"/>
      <c r="V383" s="3"/>
    </row>
    <row r="384" spans="1:22">
      <c r="A384" s="2"/>
      <c r="B384" s="3"/>
      <c r="C384" s="3"/>
      <c r="D384" s="3"/>
      <c r="E384" s="3"/>
      <c r="F384" s="3"/>
      <c r="G384" s="3"/>
      <c r="H384" s="21"/>
      <c r="I384" s="3"/>
      <c r="J384" s="3"/>
      <c r="K384" s="24"/>
      <c r="L384" s="24"/>
      <c r="M384" s="24"/>
      <c r="N384" s="24"/>
      <c r="O384" s="24"/>
      <c r="P384" s="24"/>
      <c r="R384" s="3"/>
      <c r="S384" s="3"/>
      <c r="T384" s="3"/>
      <c r="U384" s="3"/>
      <c r="V384" s="3"/>
    </row>
    <row r="385" spans="1:22">
      <c r="A385" s="2"/>
      <c r="B385" s="3"/>
      <c r="C385" s="3"/>
      <c r="D385" s="3"/>
      <c r="E385" s="3"/>
      <c r="F385" s="3"/>
      <c r="G385" s="3"/>
      <c r="H385" s="21"/>
      <c r="I385" s="3"/>
      <c r="J385" s="3"/>
      <c r="K385" s="24"/>
      <c r="L385" s="24"/>
      <c r="M385" s="24"/>
      <c r="N385" s="24"/>
      <c r="O385" s="24"/>
      <c r="P385" s="24"/>
      <c r="R385" s="3"/>
      <c r="S385" s="3"/>
      <c r="T385" s="3"/>
      <c r="U385" s="3"/>
      <c r="V385" s="3"/>
    </row>
    <row r="386" spans="1:22">
      <c r="A386" s="2"/>
      <c r="B386" s="3"/>
      <c r="C386" s="3"/>
      <c r="D386" s="3"/>
      <c r="E386" s="3"/>
      <c r="F386" s="3"/>
      <c r="G386" s="3"/>
      <c r="H386" s="21"/>
      <c r="I386" s="3"/>
      <c r="J386" s="3"/>
      <c r="K386" s="24"/>
      <c r="L386" s="24"/>
      <c r="M386" s="24"/>
      <c r="N386" s="24"/>
      <c r="O386" s="24"/>
      <c r="P386" s="24"/>
      <c r="R386" s="3"/>
      <c r="S386" s="3"/>
      <c r="T386" s="3"/>
      <c r="U386" s="3"/>
      <c r="V386" s="3"/>
    </row>
    <row r="387" spans="1:22">
      <c r="A387" s="2"/>
      <c r="B387" s="3"/>
      <c r="C387" s="3"/>
      <c r="D387" s="3"/>
      <c r="E387" s="3"/>
      <c r="F387" s="3"/>
      <c r="G387" s="3"/>
      <c r="H387" s="21"/>
      <c r="I387" s="3"/>
      <c r="J387" s="3"/>
      <c r="K387" s="24"/>
      <c r="L387" s="24"/>
      <c r="M387" s="24"/>
      <c r="N387" s="24"/>
      <c r="O387" s="24"/>
      <c r="P387" s="24"/>
      <c r="R387" s="3"/>
      <c r="S387" s="3"/>
      <c r="T387" s="3"/>
      <c r="U387" s="3"/>
      <c r="V387" s="3"/>
    </row>
    <row r="388" spans="1:22">
      <c r="A388" s="2"/>
      <c r="B388" s="3"/>
      <c r="C388" s="3"/>
      <c r="D388" s="3"/>
      <c r="E388" s="3"/>
      <c r="F388" s="3"/>
      <c r="G388" s="3"/>
      <c r="H388" s="21"/>
      <c r="I388" s="3"/>
      <c r="J388" s="3"/>
      <c r="K388" s="24"/>
      <c r="L388" s="24"/>
      <c r="M388" s="24"/>
      <c r="N388" s="24"/>
      <c r="O388" s="24"/>
      <c r="P388" s="24"/>
      <c r="R388" s="3"/>
      <c r="S388" s="3"/>
      <c r="T388" s="3"/>
      <c r="U388" s="3"/>
      <c r="V388" s="3"/>
    </row>
    <row r="389" spans="1:22">
      <c r="A389" s="2"/>
      <c r="B389" s="3"/>
      <c r="C389" s="3"/>
      <c r="D389" s="3"/>
      <c r="E389" s="3"/>
      <c r="F389" s="3"/>
      <c r="G389" s="3"/>
      <c r="H389" s="21"/>
      <c r="I389" s="3"/>
      <c r="J389" s="3"/>
      <c r="K389" s="24"/>
      <c r="L389" s="24"/>
      <c r="M389" s="24"/>
      <c r="N389" s="24"/>
      <c r="O389" s="24"/>
      <c r="P389" s="24"/>
      <c r="R389" s="3"/>
      <c r="S389" s="3"/>
      <c r="T389" s="3"/>
      <c r="U389" s="3"/>
      <c r="V389" s="3"/>
    </row>
    <row r="390" spans="1:22">
      <c r="A390" s="2"/>
      <c r="B390" s="3"/>
      <c r="C390" s="3"/>
      <c r="D390" s="3"/>
      <c r="E390" s="3"/>
      <c r="F390" s="3"/>
      <c r="G390" s="3"/>
      <c r="H390" s="21"/>
      <c r="I390" s="3"/>
      <c r="J390" s="3"/>
      <c r="K390" s="24"/>
      <c r="L390" s="24"/>
      <c r="M390" s="24"/>
      <c r="N390" s="24"/>
      <c r="O390" s="24"/>
      <c r="P390" s="24"/>
      <c r="R390" s="3"/>
      <c r="S390" s="3"/>
      <c r="T390" s="3"/>
      <c r="U390" s="3"/>
      <c r="V390" s="3"/>
    </row>
    <row r="391" spans="1:22">
      <c r="A391" s="2"/>
      <c r="B391" s="3"/>
      <c r="C391" s="3"/>
      <c r="D391" s="3"/>
      <c r="E391" s="3"/>
      <c r="F391" s="3"/>
      <c r="G391" s="3"/>
      <c r="H391" s="21"/>
      <c r="I391" s="3"/>
      <c r="J391" s="3"/>
      <c r="K391" s="24"/>
      <c r="L391" s="24"/>
      <c r="M391" s="24"/>
      <c r="N391" s="24"/>
      <c r="O391" s="24"/>
      <c r="P391" s="24"/>
      <c r="R391" s="3"/>
      <c r="S391" s="3"/>
      <c r="T391" s="3"/>
      <c r="U391" s="3"/>
      <c r="V391" s="3"/>
    </row>
    <row r="392" spans="1:22">
      <c r="A392" s="2"/>
      <c r="B392" s="3"/>
      <c r="C392" s="3"/>
      <c r="D392" s="3"/>
      <c r="E392" s="3"/>
      <c r="F392" s="3"/>
      <c r="G392" s="3"/>
      <c r="H392" s="21"/>
      <c r="I392" s="3"/>
      <c r="J392" s="3"/>
      <c r="K392" s="24"/>
      <c r="L392" s="24"/>
      <c r="M392" s="24"/>
      <c r="N392" s="24"/>
      <c r="O392" s="24"/>
      <c r="P392" s="24"/>
      <c r="R392" s="3"/>
      <c r="S392" s="3"/>
      <c r="T392" s="3"/>
      <c r="U392" s="3"/>
      <c r="V392" s="3"/>
    </row>
    <row r="393" spans="1:22">
      <c r="A393" s="2"/>
      <c r="B393" s="3"/>
      <c r="C393" s="3"/>
      <c r="D393" s="3"/>
      <c r="E393" s="3"/>
      <c r="F393" s="3"/>
      <c r="G393" s="3"/>
      <c r="H393" s="21"/>
      <c r="I393" s="3"/>
      <c r="J393" s="3"/>
      <c r="K393" s="24"/>
      <c r="L393" s="24"/>
      <c r="M393" s="24"/>
      <c r="N393" s="24"/>
      <c r="O393" s="24"/>
      <c r="P393" s="24"/>
      <c r="R393" s="3"/>
      <c r="S393" s="3"/>
      <c r="T393" s="3"/>
      <c r="U393" s="3"/>
      <c r="V393" s="3"/>
    </row>
    <row r="394" spans="1:22">
      <c r="A394" s="2"/>
      <c r="B394" s="3"/>
      <c r="C394" s="3"/>
      <c r="D394" s="3"/>
      <c r="E394" s="3"/>
      <c r="F394" s="3"/>
      <c r="G394" s="3"/>
      <c r="H394" s="21"/>
      <c r="I394" s="3"/>
      <c r="J394" s="3"/>
      <c r="K394" s="24"/>
      <c r="L394" s="24"/>
      <c r="M394" s="24"/>
      <c r="N394" s="24"/>
      <c r="O394" s="24"/>
      <c r="P394" s="24"/>
      <c r="R394" s="3"/>
      <c r="S394" s="3"/>
      <c r="T394" s="3"/>
      <c r="U394" s="3"/>
      <c r="V394" s="3"/>
    </row>
    <row r="395" spans="1:22">
      <c r="A395" s="2"/>
      <c r="B395" s="3"/>
      <c r="C395" s="3"/>
      <c r="D395" s="3"/>
      <c r="E395" s="3"/>
      <c r="F395" s="3"/>
      <c r="G395" s="3"/>
      <c r="H395" s="21"/>
      <c r="I395" s="3"/>
      <c r="J395" s="3"/>
      <c r="K395" s="24"/>
      <c r="L395" s="24"/>
      <c r="M395" s="24"/>
      <c r="N395" s="24"/>
      <c r="O395" s="24"/>
      <c r="P395" s="24"/>
      <c r="R395" s="3"/>
      <c r="S395" s="3"/>
      <c r="T395" s="3"/>
      <c r="U395" s="3"/>
      <c r="V395" s="3"/>
    </row>
    <row r="396" spans="1:22">
      <c r="A396" s="2"/>
      <c r="B396" s="3"/>
      <c r="C396" s="3"/>
      <c r="D396" s="3"/>
      <c r="E396" s="3"/>
      <c r="F396" s="3"/>
      <c r="G396" s="3"/>
      <c r="H396" s="21"/>
      <c r="I396" s="3"/>
      <c r="J396" s="3"/>
      <c r="K396" s="24"/>
      <c r="L396" s="24"/>
      <c r="M396" s="24"/>
      <c r="N396" s="24"/>
      <c r="O396" s="24"/>
      <c r="P396" s="24"/>
      <c r="R396" s="3"/>
      <c r="S396" s="3"/>
      <c r="T396" s="3"/>
      <c r="U396" s="3"/>
      <c r="V396" s="3"/>
    </row>
    <row r="397" spans="1:22">
      <c r="A397" s="2"/>
      <c r="B397" s="3"/>
      <c r="C397" s="3"/>
      <c r="D397" s="3"/>
      <c r="E397" s="3"/>
      <c r="F397" s="3"/>
      <c r="G397" s="3"/>
      <c r="H397" s="21"/>
      <c r="I397" s="3"/>
      <c r="J397" s="3"/>
      <c r="K397" s="24"/>
      <c r="L397" s="24"/>
      <c r="M397" s="24"/>
      <c r="N397" s="24"/>
      <c r="O397" s="24"/>
      <c r="P397" s="24"/>
      <c r="R397" s="3"/>
      <c r="S397" s="3"/>
      <c r="T397" s="3"/>
      <c r="U397" s="3"/>
      <c r="V397" s="3"/>
    </row>
    <row r="398" spans="1:22">
      <c r="A398" s="2"/>
      <c r="B398" s="3"/>
      <c r="C398" s="3"/>
      <c r="D398" s="3"/>
      <c r="E398" s="3"/>
      <c r="F398" s="3"/>
      <c r="G398" s="3"/>
      <c r="H398" s="21"/>
      <c r="I398" s="3"/>
      <c r="J398" s="3"/>
      <c r="K398" s="24"/>
      <c r="L398" s="24"/>
      <c r="M398" s="24"/>
      <c r="N398" s="24"/>
      <c r="O398" s="24"/>
      <c r="P398" s="24"/>
      <c r="R398" s="3"/>
      <c r="S398" s="3"/>
      <c r="T398" s="3"/>
      <c r="U398" s="3"/>
      <c r="V398" s="3"/>
    </row>
    <row r="399" spans="1:22">
      <c r="A399" s="2"/>
      <c r="B399" s="3"/>
      <c r="C399" s="3"/>
      <c r="D399" s="3"/>
      <c r="E399" s="3"/>
      <c r="F399" s="3"/>
      <c r="G399" s="3"/>
      <c r="H399" s="21"/>
      <c r="I399" s="3"/>
      <c r="J399" s="3"/>
      <c r="K399" s="24"/>
      <c r="L399" s="24"/>
      <c r="M399" s="24"/>
      <c r="N399" s="24"/>
      <c r="O399" s="24"/>
      <c r="P399" s="24"/>
      <c r="R399" s="3"/>
      <c r="S399" s="3"/>
      <c r="T399" s="3"/>
      <c r="U399" s="3"/>
      <c r="V399" s="3"/>
    </row>
    <row r="400" spans="1:22">
      <c r="A400" s="2"/>
      <c r="B400" s="3"/>
      <c r="C400" s="3"/>
      <c r="D400" s="3"/>
      <c r="E400" s="3"/>
      <c r="F400" s="3"/>
      <c r="G400" s="3"/>
      <c r="H400" s="21"/>
      <c r="I400" s="3"/>
      <c r="J400" s="3"/>
      <c r="K400" s="24"/>
      <c r="L400" s="24"/>
      <c r="M400" s="24"/>
      <c r="N400" s="24"/>
      <c r="O400" s="24"/>
      <c r="P400" s="24"/>
      <c r="R400" s="3"/>
      <c r="S400" s="3"/>
      <c r="T400" s="3"/>
      <c r="U400" s="3"/>
      <c r="V400" s="3"/>
    </row>
    <row r="401" spans="1:22">
      <c r="A401" s="2"/>
      <c r="B401" s="3"/>
      <c r="C401" s="3"/>
      <c r="D401" s="3"/>
      <c r="E401" s="3"/>
      <c r="F401" s="3"/>
      <c r="G401" s="3"/>
      <c r="H401" s="21"/>
      <c r="I401" s="3"/>
      <c r="J401" s="3"/>
      <c r="K401" s="24"/>
      <c r="L401" s="24"/>
      <c r="M401" s="24"/>
      <c r="N401" s="24"/>
      <c r="O401" s="24"/>
      <c r="P401" s="24"/>
      <c r="R401" s="3"/>
      <c r="S401" s="3"/>
      <c r="T401" s="3"/>
      <c r="U401" s="3"/>
      <c r="V401" s="3"/>
    </row>
    <row r="402" spans="1:22">
      <c r="A402" s="2"/>
      <c r="B402" s="3"/>
      <c r="C402" s="3"/>
      <c r="D402" s="3"/>
      <c r="E402" s="3"/>
      <c r="F402" s="3"/>
      <c r="G402" s="3"/>
      <c r="H402" s="21"/>
      <c r="I402" s="3"/>
      <c r="J402" s="3"/>
      <c r="K402" s="24"/>
      <c r="L402" s="24"/>
      <c r="M402" s="24"/>
      <c r="N402" s="24"/>
      <c r="O402" s="24"/>
      <c r="P402" s="24"/>
      <c r="R402" s="3"/>
      <c r="S402" s="3"/>
      <c r="T402" s="3"/>
      <c r="U402" s="3"/>
      <c r="V402" s="3"/>
    </row>
    <row r="403" spans="1:22">
      <c r="A403" s="2"/>
      <c r="B403" s="3"/>
      <c r="C403" s="3"/>
      <c r="D403" s="3"/>
      <c r="E403" s="3"/>
      <c r="F403" s="3"/>
      <c r="G403" s="3"/>
      <c r="H403" s="21"/>
      <c r="I403" s="3"/>
      <c r="J403" s="3"/>
      <c r="K403" s="24"/>
      <c r="L403" s="24"/>
      <c r="M403" s="24"/>
      <c r="N403" s="24"/>
      <c r="O403" s="24"/>
      <c r="P403" s="24"/>
      <c r="R403" s="3"/>
      <c r="S403" s="3"/>
      <c r="T403" s="3"/>
      <c r="U403" s="3"/>
      <c r="V403" s="3"/>
    </row>
    <row r="404" spans="1:22">
      <c r="A404" s="2"/>
      <c r="B404" s="3"/>
      <c r="C404" s="3"/>
      <c r="D404" s="3"/>
      <c r="E404" s="3"/>
      <c r="F404" s="3"/>
      <c r="G404" s="3"/>
      <c r="H404" s="21"/>
      <c r="I404" s="3"/>
      <c r="J404" s="3"/>
      <c r="K404" s="24"/>
      <c r="L404" s="24"/>
      <c r="M404" s="24"/>
      <c r="N404" s="24"/>
      <c r="O404" s="24"/>
      <c r="P404" s="24"/>
      <c r="R404" s="3"/>
      <c r="S404" s="3"/>
      <c r="T404" s="3"/>
      <c r="U404" s="3"/>
      <c r="V404" s="3"/>
    </row>
    <row r="405" spans="1:22">
      <c r="A405" s="2"/>
      <c r="B405" s="3"/>
      <c r="C405" s="3"/>
      <c r="D405" s="3"/>
      <c r="E405" s="3"/>
      <c r="F405" s="3"/>
      <c r="G405" s="3"/>
      <c r="H405" s="21"/>
      <c r="I405" s="3"/>
      <c r="J405" s="3"/>
      <c r="K405" s="24"/>
      <c r="L405" s="24"/>
      <c r="M405" s="24"/>
      <c r="N405" s="24"/>
      <c r="O405" s="24"/>
      <c r="P405" s="24"/>
      <c r="R405" s="3"/>
      <c r="S405" s="3"/>
      <c r="T405" s="3"/>
      <c r="U405" s="3"/>
      <c r="V405" s="3"/>
    </row>
    <row r="406" spans="1:22">
      <c r="A406" s="2"/>
      <c r="B406" s="3"/>
      <c r="C406" s="3"/>
      <c r="D406" s="3"/>
      <c r="E406" s="3"/>
      <c r="F406" s="3"/>
      <c r="G406" s="3"/>
      <c r="H406" s="21"/>
      <c r="I406" s="3"/>
      <c r="J406" s="3"/>
      <c r="K406" s="24"/>
      <c r="L406" s="24"/>
      <c r="M406" s="24"/>
      <c r="N406" s="24"/>
      <c r="O406" s="24"/>
      <c r="P406" s="24"/>
      <c r="R406" s="3"/>
      <c r="S406" s="3"/>
      <c r="T406" s="3"/>
      <c r="U406" s="3"/>
      <c r="V406" s="3"/>
    </row>
    <row r="407" spans="1:22">
      <c r="A407" s="2"/>
      <c r="B407" s="3"/>
      <c r="C407" s="3"/>
      <c r="D407" s="3"/>
      <c r="E407" s="3"/>
      <c r="F407" s="3"/>
      <c r="G407" s="3"/>
      <c r="H407" s="21"/>
      <c r="I407" s="3"/>
      <c r="J407" s="3"/>
      <c r="K407" s="24"/>
      <c r="L407" s="24"/>
      <c r="M407" s="24"/>
      <c r="N407" s="24"/>
      <c r="O407" s="24"/>
      <c r="P407" s="24"/>
      <c r="R407" s="3"/>
      <c r="S407" s="3"/>
      <c r="T407" s="3"/>
      <c r="U407" s="3"/>
      <c r="V407" s="3"/>
    </row>
    <row r="408" spans="1:22">
      <c r="A408" s="2"/>
      <c r="B408" s="3"/>
      <c r="C408" s="3"/>
      <c r="D408" s="3"/>
      <c r="E408" s="3"/>
      <c r="F408" s="3"/>
      <c r="G408" s="3"/>
      <c r="H408" s="21"/>
      <c r="I408" s="3"/>
      <c r="J408" s="3"/>
      <c r="K408" s="24"/>
      <c r="L408" s="24"/>
      <c r="M408" s="24"/>
      <c r="N408" s="24"/>
      <c r="O408" s="24"/>
      <c r="P408" s="24"/>
      <c r="R408" s="3"/>
      <c r="S408" s="3"/>
      <c r="T408" s="3"/>
      <c r="U408" s="3"/>
      <c r="V408" s="3"/>
    </row>
    <row r="409" spans="1:22">
      <c r="A409" s="2"/>
      <c r="B409" s="3"/>
      <c r="C409" s="3"/>
      <c r="D409" s="3"/>
      <c r="E409" s="3"/>
      <c r="F409" s="3"/>
      <c r="G409" s="3"/>
      <c r="H409" s="21"/>
      <c r="I409" s="3"/>
      <c r="J409" s="3"/>
      <c r="K409" s="24"/>
      <c r="L409" s="24"/>
      <c r="M409" s="24"/>
      <c r="N409" s="24"/>
      <c r="O409" s="24"/>
      <c r="P409" s="24"/>
      <c r="R409" s="3"/>
      <c r="S409" s="3"/>
      <c r="T409" s="3"/>
      <c r="U409" s="3"/>
      <c r="V409" s="3"/>
    </row>
    <row r="410" spans="1:22">
      <c r="A410" s="2"/>
      <c r="B410" s="3"/>
      <c r="C410" s="3"/>
      <c r="D410" s="3"/>
      <c r="E410" s="3"/>
      <c r="F410" s="3"/>
      <c r="G410" s="3"/>
      <c r="H410" s="21"/>
      <c r="I410" s="3"/>
      <c r="J410" s="3"/>
      <c r="K410" s="24"/>
      <c r="L410" s="24"/>
      <c r="M410" s="24"/>
      <c r="N410" s="24"/>
      <c r="O410" s="24"/>
      <c r="P410" s="24"/>
      <c r="R410" s="3"/>
      <c r="S410" s="3"/>
      <c r="T410" s="3"/>
      <c r="U410" s="3"/>
      <c r="V410" s="3"/>
    </row>
    <row r="411" spans="1:22">
      <c r="A411" s="2"/>
      <c r="B411" s="3"/>
      <c r="C411" s="3"/>
      <c r="D411" s="3"/>
      <c r="E411" s="3"/>
      <c r="F411" s="3"/>
      <c r="G411" s="3"/>
      <c r="H411" s="21"/>
      <c r="I411" s="3"/>
      <c r="J411" s="3"/>
      <c r="K411" s="24"/>
      <c r="L411" s="24"/>
      <c r="M411" s="24"/>
      <c r="N411" s="24"/>
      <c r="O411" s="24"/>
      <c r="P411" s="24"/>
      <c r="R411" s="3"/>
      <c r="S411" s="3"/>
      <c r="T411" s="3"/>
      <c r="U411" s="3"/>
      <c r="V411" s="3"/>
    </row>
    <row r="412" spans="1:22">
      <c r="A412" s="2"/>
      <c r="B412" s="3"/>
      <c r="C412" s="3"/>
      <c r="D412" s="3"/>
      <c r="E412" s="3"/>
      <c r="F412" s="3"/>
      <c r="G412" s="3"/>
      <c r="H412" s="21"/>
      <c r="I412" s="3"/>
      <c r="J412" s="3"/>
      <c r="K412" s="24"/>
      <c r="L412" s="24"/>
      <c r="M412" s="24"/>
      <c r="N412" s="24"/>
      <c r="O412" s="24"/>
      <c r="P412" s="24"/>
      <c r="R412" s="3"/>
      <c r="S412" s="3"/>
      <c r="T412" s="3"/>
      <c r="U412" s="3"/>
      <c r="V412" s="3"/>
    </row>
    <row r="413" spans="1:22">
      <c r="A413" s="2"/>
      <c r="B413" s="3"/>
      <c r="C413" s="3"/>
      <c r="D413" s="3"/>
      <c r="E413" s="3"/>
      <c r="F413" s="3"/>
      <c r="G413" s="3"/>
      <c r="H413" s="21"/>
      <c r="I413" s="3"/>
      <c r="J413" s="3"/>
      <c r="K413" s="24"/>
      <c r="L413" s="24"/>
      <c r="M413" s="24"/>
      <c r="N413" s="24"/>
      <c r="O413" s="24"/>
      <c r="P413" s="24"/>
      <c r="R413" s="3"/>
      <c r="S413" s="3"/>
      <c r="T413" s="3"/>
      <c r="U413" s="3"/>
      <c r="V413" s="3"/>
    </row>
    <row r="414" spans="1:22">
      <c r="A414" s="2"/>
      <c r="B414" s="3"/>
      <c r="C414" s="3"/>
      <c r="D414" s="3"/>
      <c r="E414" s="3"/>
      <c r="F414" s="3"/>
      <c r="G414" s="3"/>
      <c r="H414" s="21"/>
      <c r="I414" s="3"/>
      <c r="J414" s="3"/>
      <c r="K414" s="24"/>
      <c r="L414" s="24"/>
      <c r="M414" s="24"/>
      <c r="N414" s="24"/>
      <c r="O414" s="24"/>
      <c r="P414" s="24"/>
      <c r="R414" s="3"/>
      <c r="S414" s="3"/>
      <c r="T414" s="3"/>
      <c r="U414" s="3"/>
      <c r="V414" s="3"/>
    </row>
    <row r="415" spans="1:22">
      <c r="A415" s="2"/>
      <c r="B415" s="3"/>
      <c r="C415" s="3"/>
      <c r="D415" s="3"/>
      <c r="E415" s="3"/>
      <c r="F415" s="3"/>
      <c r="G415" s="3"/>
      <c r="H415" s="21"/>
      <c r="I415" s="3"/>
      <c r="J415" s="3"/>
      <c r="K415" s="24"/>
      <c r="L415" s="24"/>
      <c r="M415" s="24"/>
      <c r="N415" s="24"/>
      <c r="O415" s="24"/>
      <c r="P415" s="24"/>
      <c r="R415" s="3"/>
      <c r="S415" s="3"/>
      <c r="T415" s="3"/>
      <c r="U415" s="3"/>
      <c r="V415" s="3"/>
    </row>
    <row r="416" spans="1:22">
      <c r="A416" s="2"/>
      <c r="B416" s="3"/>
      <c r="C416" s="3"/>
      <c r="D416" s="3"/>
      <c r="E416" s="3"/>
      <c r="F416" s="3"/>
      <c r="G416" s="3"/>
      <c r="H416" s="21"/>
      <c r="I416" s="3"/>
      <c r="J416" s="3"/>
      <c r="K416" s="24"/>
      <c r="L416" s="24"/>
      <c r="M416" s="24"/>
      <c r="N416" s="24"/>
      <c r="O416" s="24"/>
      <c r="P416" s="24"/>
      <c r="R416" s="3"/>
      <c r="S416" s="3"/>
      <c r="T416" s="3"/>
      <c r="U416" s="3"/>
      <c r="V416" s="3"/>
    </row>
    <row r="417" spans="1:22">
      <c r="A417" s="2"/>
      <c r="B417" s="3"/>
      <c r="C417" s="3"/>
      <c r="D417" s="3"/>
      <c r="E417" s="3"/>
      <c r="F417" s="3"/>
      <c r="G417" s="3"/>
      <c r="H417" s="21"/>
      <c r="I417" s="3"/>
      <c r="J417" s="3"/>
      <c r="K417" s="24"/>
      <c r="L417" s="24"/>
      <c r="M417" s="24"/>
      <c r="N417" s="24"/>
      <c r="O417" s="24"/>
      <c r="P417" s="24"/>
      <c r="R417" s="3"/>
      <c r="S417" s="3"/>
      <c r="T417" s="3"/>
      <c r="U417" s="3"/>
      <c r="V417" s="3"/>
    </row>
    <row r="418" spans="1:22">
      <c r="A418" s="2"/>
      <c r="B418" s="3"/>
      <c r="C418" s="3"/>
      <c r="D418" s="3"/>
      <c r="E418" s="3"/>
      <c r="F418" s="3"/>
      <c r="G418" s="3"/>
      <c r="H418" s="21"/>
      <c r="I418" s="3"/>
      <c r="J418" s="3"/>
      <c r="K418" s="24"/>
      <c r="L418" s="24"/>
      <c r="M418" s="24"/>
      <c r="N418" s="24"/>
      <c r="O418" s="24"/>
      <c r="P418" s="24"/>
      <c r="R418" s="3"/>
      <c r="S418" s="3"/>
      <c r="T418" s="3"/>
      <c r="U418" s="3"/>
      <c r="V418" s="3"/>
    </row>
    <row r="419" spans="1:22">
      <c r="A419" s="2"/>
      <c r="B419" s="3"/>
      <c r="C419" s="3"/>
      <c r="D419" s="3"/>
      <c r="E419" s="3"/>
      <c r="F419" s="3"/>
      <c r="G419" s="3"/>
      <c r="H419" s="21"/>
      <c r="I419" s="3"/>
      <c r="J419" s="3"/>
      <c r="K419" s="24"/>
      <c r="L419" s="24"/>
      <c r="M419" s="24"/>
      <c r="N419" s="24"/>
      <c r="O419" s="24"/>
      <c r="P419" s="24"/>
      <c r="R419" s="3"/>
      <c r="S419" s="3"/>
      <c r="T419" s="3"/>
      <c r="U419" s="3"/>
      <c r="V419" s="3"/>
    </row>
    <row r="420" spans="1:22">
      <c r="A420" s="2"/>
      <c r="B420" s="3"/>
      <c r="C420" s="3"/>
      <c r="D420" s="3"/>
      <c r="E420" s="3"/>
      <c r="F420" s="3"/>
      <c r="G420" s="3"/>
      <c r="H420" s="21"/>
      <c r="I420" s="3"/>
      <c r="J420" s="3"/>
      <c r="K420" s="24"/>
      <c r="L420" s="24"/>
      <c r="M420" s="24"/>
      <c r="N420" s="24"/>
      <c r="O420" s="24"/>
      <c r="P420" s="24"/>
      <c r="R420" s="3"/>
      <c r="S420" s="3"/>
      <c r="T420" s="3"/>
      <c r="U420" s="3"/>
      <c r="V420" s="3"/>
    </row>
    <row r="421" spans="1:22">
      <c r="A421" s="2"/>
      <c r="B421" s="3"/>
      <c r="C421" s="3"/>
      <c r="D421" s="3"/>
      <c r="E421" s="3"/>
      <c r="F421" s="3"/>
      <c r="G421" s="3"/>
      <c r="H421" s="21"/>
      <c r="I421" s="3"/>
      <c r="J421" s="3"/>
      <c r="K421" s="24"/>
      <c r="L421" s="24"/>
      <c r="M421" s="24"/>
      <c r="N421" s="24"/>
      <c r="O421" s="24"/>
      <c r="P421" s="24"/>
      <c r="R421" s="3"/>
      <c r="S421" s="3"/>
      <c r="T421" s="3"/>
      <c r="U421" s="3"/>
      <c r="V421" s="3"/>
    </row>
    <row r="422" spans="1:22">
      <c r="A422" s="2"/>
      <c r="B422" s="3"/>
      <c r="C422" s="3"/>
      <c r="D422" s="3"/>
      <c r="E422" s="3"/>
      <c r="F422" s="3"/>
      <c r="G422" s="3"/>
      <c r="H422" s="21"/>
      <c r="I422" s="3"/>
      <c r="J422" s="3"/>
      <c r="K422" s="24"/>
      <c r="L422" s="24"/>
      <c r="M422" s="24"/>
      <c r="N422" s="24"/>
      <c r="O422" s="24"/>
      <c r="P422" s="24"/>
      <c r="R422" s="3"/>
      <c r="S422" s="3"/>
      <c r="T422" s="3"/>
      <c r="U422" s="3"/>
      <c r="V422" s="3"/>
    </row>
    <row r="423" spans="1:22">
      <c r="A423" s="2"/>
      <c r="B423" s="3"/>
      <c r="C423" s="3"/>
      <c r="D423" s="3"/>
      <c r="E423" s="3"/>
      <c r="F423" s="3"/>
      <c r="G423" s="3"/>
      <c r="H423" s="21"/>
      <c r="I423" s="3"/>
      <c r="J423" s="3"/>
      <c r="K423" s="24"/>
      <c r="L423" s="24"/>
      <c r="M423" s="24"/>
      <c r="N423" s="24"/>
      <c r="O423" s="24"/>
      <c r="P423" s="24"/>
      <c r="R423" s="3"/>
      <c r="S423" s="3"/>
      <c r="T423" s="3"/>
      <c r="U423" s="3"/>
      <c r="V423" s="3"/>
    </row>
    <row r="424" spans="1:22">
      <c r="A424" s="2"/>
      <c r="B424" s="3"/>
      <c r="C424" s="3"/>
      <c r="D424" s="3"/>
      <c r="E424" s="3"/>
      <c r="F424" s="3"/>
      <c r="G424" s="3"/>
      <c r="H424" s="21"/>
      <c r="I424" s="3"/>
      <c r="J424" s="3"/>
      <c r="K424" s="24"/>
      <c r="L424" s="24"/>
      <c r="M424" s="24"/>
      <c r="N424" s="24"/>
      <c r="O424" s="24"/>
      <c r="P424" s="24"/>
      <c r="R424" s="3"/>
      <c r="S424" s="3"/>
      <c r="T424" s="3"/>
      <c r="U424" s="3"/>
      <c r="V424" s="3"/>
    </row>
    <row r="425" spans="1:22">
      <c r="A425" s="2"/>
      <c r="B425" s="3"/>
      <c r="C425" s="3"/>
      <c r="D425" s="3"/>
      <c r="E425" s="3"/>
      <c r="F425" s="3"/>
      <c r="G425" s="3"/>
      <c r="H425" s="21"/>
      <c r="I425" s="3"/>
      <c r="J425" s="3"/>
      <c r="K425" s="24"/>
      <c r="L425" s="24"/>
      <c r="M425" s="24"/>
      <c r="N425" s="24"/>
      <c r="O425" s="24"/>
      <c r="P425" s="24"/>
      <c r="R425" s="3"/>
      <c r="S425" s="3"/>
      <c r="T425" s="3"/>
      <c r="U425" s="3"/>
      <c r="V425" s="3"/>
    </row>
    <row r="426" spans="1:22">
      <c r="A426" s="2"/>
      <c r="B426" s="3"/>
      <c r="C426" s="3"/>
      <c r="D426" s="3"/>
      <c r="E426" s="3"/>
      <c r="F426" s="3"/>
      <c r="G426" s="3"/>
      <c r="H426" s="21"/>
      <c r="I426" s="3"/>
      <c r="J426" s="3"/>
      <c r="K426" s="24"/>
      <c r="L426" s="24"/>
      <c r="M426" s="24"/>
      <c r="N426" s="24"/>
      <c r="O426" s="24"/>
      <c r="P426" s="24"/>
      <c r="R426" s="3"/>
      <c r="S426" s="3"/>
      <c r="T426" s="3"/>
      <c r="U426" s="3"/>
      <c r="V426" s="3"/>
    </row>
    <row r="427" spans="1:22">
      <c r="A427" s="2"/>
      <c r="B427" s="3"/>
      <c r="C427" s="3"/>
      <c r="D427" s="3"/>
      <c r="E427" s="3"/>
      <c r="F427" s="3"/>
      <c r="G427" s="3"/>
      <c r="H427" s="21"/>
      <c r="I427" s="3"/>
      <c r="J427" s="3"/>
      <c r="K427" s="24"/>
      <c r="L427" s="24"/>
      <c r="M427" s="24"/>
      <c r="N427" s="24"/>
      <c r="O427" s="24"/>
      <c r="P427" s="24"/>
      <c r="R427" s="3"/>
      <c r="S427" s="3"/>
      <c r="T427" s="3"/>
      <c r="U427" s="3"/>
      <c r="V427" s="3"/>
    </row>
    <row r="428" spans="1:22">
      <c r="A428" s="2"/>
      <c r="B428" s="3"/>
      <c r="C428" s="3"/>
      <c r="D428" s="3"/>
      <c r="E428" s="3"/>
      <c r="F428" s="3"/>
      <c r="G428" s="3"/>
      <c r="H428" s="21"/>
      <c r="I428" s="3"/>
      <c r="J428" s="3"/>
      <c r="K428" s="24"/>
      <c r="L428" s="24"/>
      <c r="M428" s="24"/>
      <c r="N428" s="24"/>
      <c r="O428" s="24"/>
      <c r="P428" s="24"/>
      <c r="R428" s="3"/>
      <c r="S428" s="3"/>
      <c r="T428" s="3"/>
      <c r="U428" s="3"/>
      <c r="V428" s="3"/>
    </row>
    <row r="429" spans="1:22">
      <c r="A429" s="2"/>
      <c r="B429" s="3"/>
      <c r="C429" s="3"/>
      <c r="D429" s="3"/>
      <c r="E429" s="3"/>
      <c r="F429" s="3"/>
      <c r="G429" s="3"/>
      <c r="H429" s="21"/>
      <c r="I429" s="3"/>
      <c r="J429" s="3"/>
      <c r="K429" s="24"/>
      <c r="L429" s="24"/>
      <c r="M429" s="24"/>
      <c r="N429" s="24"/>
      <c r="O429" s="24"/>
      <c r="P429" s="24"/>
      <c r="R429" s="3"/>
      <c r="S429" s="3"/>
      <c r="T429" s="3"/>
      <c r="U429" s="3"/>
      <c r="V429" s="3"/>
    </row>
    <row r="430" spans="1:22">
      <c r="A430" s="2"/>
      <c r="B430" s="3"/>
      <c r="C430" s="3"/>
      <c r="D430" s="3"/>
      <c r="E430" s="3"/>
      <c r="F430" s="3"/>
      <c r="G430" s="3"/>
      <c r="H430" s="21"/>
      <c r="I430" s="3"/>
      <c r="J430" s="3"/>
      <c r="K430" s="24"/>
      <c r="L430" s="24"/>
      <c r="M430" s="24"/>
      <c r="N430" s="24"/>
      <c r="O430" s="24"/>
      <c r="P430" s="24"/>
      <c r="R430" s="3"/>
      <c r="S430" s="3"/>
      <c r="T430" s="3"/>
      <c r="U430" s="3"/>
      <c r="V430" s="3"/>
    </row>
    <row r="431" spans="1:22">
      <c r="A431" s="2"/>
      <c r="B431" s="3"/>
      <c r="C431" s="3"/>
      <c r="D431" s="3"/>
      <c r="E431" s="3"/>
      <c r="F431" s="3"/>
      <c r="G431" s="3"/>
      <c r="H431" s="21"/>
      <c r="I431" s="3"/>
      <c r="J431" s="3"/>
      <c r="K431" s="24"/>
      <c r="L431" s="24"/>
      <c r="M431" s="24"/>
      <c r="N431" s="24"/>
      <c r="O431" s="24"/>
      <c r="P431" s="24"/>
      <c r="R431" s="3"/>
      <c r="S431" s="3"/>
      <c r="T431" s="3"/>
      <c r="U431" s="3"/>
      <c r="V431" s="3"/>
    </row>
    <row r="432" spans="1:22">
      <c r="A432" s="2"/>
      <c r="B432" s="3"/>
      <c r="C432" s="3"/>
      <c r="D432" s="3"/>
      <c r="E432" s="3"/>
      <c r="F432" s="3"/>
      <c r="G432" s="3"/>
      <c r="H432" s="21"/>
      <c r="I432" s="3"/>
      <c r="J432" s="3"/>
      <c r="K432" s="24"/>
      <c r="L432" s="24"/>
      <c r="M432" s="24"/>
      <c r="N432" s="24"/>
      <c r="O432" s="24"/>
      <c r="P432" s="24"/>
      <c r="R432" s="3"/>
      <c r="S432" s="3"/>
      <c r="T432" s="3"/>
      <c r="U432" s="3"/>
      <c r="V432" s="3"/>
    </row>
    <row r="433" spans="1:22">
      <c r="A433" s="2"/>
      <c r="B433" s="3"/>
      <c r="C433" s="3"/>
      <c r="D433" s="3"/>
      <c r="E433" s="3"/>
      <c r="F433" s="3"/>
      <c r="G433" s="3"/>
      <c r="H433" s="21"/>
      <c r="I433" s="3"/>
      <c r="J433" s="3"/>
      <c r="K433" s="24"/>
      <c r="L433" s="24"/>
      <c r="M433" s="24"/>
      <c r="N433" s="24"/>
      <c r="O433" s="24"/>
      <c r="P433" s="24"/>
      <c r="R433" s="3"/>
      <c r="S433" s="3"/>
      <c r="T433" s="3"/>
      <c r="U433" s="3"/>
      <c r="V433" s="3"/>
    </row>
    <row r="434" spans="1:22">
      <c r="A434" s="2"/>
      <c r="B434" s="3"/>
      <c r="C434" s="3"/>
      <c r="D434" s="3"/>
      <c r="E434" s="3"/>
      <c r="F434" s="3"/>
      <c r="G434" s="3"/>
      <c r="H434" s="21"/>
      <c r="I434" s="3"/>
      <c r="J434" s="3"/>
      <c r="K434" s="24"/>
      <c r="L434" s="24"/>
      <c r="M434" s="24"/>
      <c r="N434" s="24"/>
      <c r="O434" s="24"/>
      <c r="P434" s="24"/>
      <c r="R434" s="3"/>
      <c r="S434" s="3"/>
      <c r="T434" s="3"/>
      <c r="U434" s="3"/>
      <c r="V434" s="3"/>
    </row>
    <row r="435" spans="1:22">
      <c r="A435" s="2"/>
      <c r="B435" s="3"/>
      <c r="C435" s="3"/>
      <c r="D435" s="3"/>
      <c r="E435" s="3"/>
      <c r="F435" s="3"/>
      <c r="G435" s="3"/>
      <c r="H435" s="21"/>
      <c r="I435" s="3"/>
      <c r="J435" s="3"/>
      <c r="K435" s="24"/>
      <c r="L435" s="24"/>
      <c r="M435" s="24"/>
      <c r="N435" s="24"/>
      <c r="O435" s="24"/>
      <c r="P435" s="24"/>
      <c r="R435" s="3"/>
      <c r="S435" s="3"/>
      <c r="T435" s="3"/>
      <c r="U435" s="3"/>
      <c r="V435" s="3"/>
    </row>
    <row r="436" spans="1:22">
      <c r="A436" s="2"/>
      <c r="B436" s="3"/>
      <c r="C436" s="3"/>
      <c r="D436" s="3"/>
      <c r="E436" s="3"/>
      <c r="F436" s="3"/>
      <c r="G436" s="3"/>
      <c r="H436" s="21"/>
      <c r="I436" s="3"/>
      <c r="J436" s="3"/>
      <c r="K436" s="24"/>
      <c r="L436" s="24"/>
      <c r="M436" s="24"/>
      <c r="N436" s="24"/>
      <c r="O436" s="24"/>
      <c r="P436" s="24"/>
      <c r="R436" s="3"/>
      <c r="S436" s="3"/>
      <c r="T436" s="3"/>
      <c r="U436" s="3"/>
      <c r="V436" s="3"/>
    </row>
    <row r="437" spans="1:22">
      <c r="A437" s="2"/>
      <c r="B437" s="3"/>
      <c r="C437" s="3"/>
      <c r="D437" s="3"/>
      <c r="E437" s="3"/>
      <c r="F437" s="3"/>
      <c r="G437" s="3"/>
      <c r="H437" s="21"/>
      <c r="I437" s="3"/>
      <c r="J437" s="3"/>
      <c r="K437" s="24"/>
      <c r="L437" s="24"/>
      <c r="M437" s="24"/>
      <c r="N437" s="24"/>
      <c r="O437" s="24"/>
      <c r="P437" s="24"/>
      <c r="R437" s="3"/>
      <c r="S437" s="3"/>
      <c r="T437" s="3"/>
      <c r="U437" s="3"/>
      <c r="V437" s="3"/>
    </row>
    <row r="438" spans="1:22">
      <c r="A438" s="2"/>
      <c r="B438" s="3"/>
      <c r="C438" s="3"/>
      <c r="D438" s="3"/>
      <c r="E438" s="3"/>
      <c r="F438" s="3"/>
      <c r="G438" s="3"/>
      <c r="H438" s="21"/>
      <c r="I438" s="3"/>
      <c r="J438" s="3"/>
      <c r="K438" s="24"/>
      <c r="L438" s="24"/>
      <c r="M438" s="24"/>
      <c r="N438" s="24"/>
      <c r="O438" s="24"/>
      <c r="P438" s="24"/>
      <c r="R438" s="3"/>
      <c r="S438" s="3"/>
      <c r="T438" s="3"/>
      <c r="U438" s="3"/>
      <c r="V438" s="3"/>
    </row>
    <row r="439" spans="1:22">
      <c r="A439" s="2"/>
      <c r="B439" s="3"/>
      <c r="C439" s="3"/>
      <c r="D439" s="3"/>
      <c r="E439" s="3"/>
      <c r="F439" s="3"/>
      <c r="G439" s="3"/>
      <c r="H439" s="21"/>
      <c r="I439" s="3"/>
      <c r="J439" s="3"/>
      <c r="K439" s="24"/>
      <c r="L439" s="24"/>
      <c r="M439" s="24"/>
      <c r="N439" s="24"/>
      <c r="O439" s="24"/>
      <c r="P439" s="24"/>
      <c r="R439" s="3"/>
      <c r="S439" s="3"/>
      <c r="T439" s="3"/>
      <c r="U439" s="3"/>
      <c r="V439" s="3"/>
    </row>
    <row r="440" spans="1:22">
      <c r="A440" s="2"/>
      <c r="B440" s="3"/>
      <c r="C440" s="3"/>
      <c r="D440" s="3"/>
      <c r="E440" s="3"/>
      <c r="F440" s="3"/>
      <c r="G440" s="3"/>
      <c r="H440" s="21"/>
      <c r="I440" s="3"/>
      <c r="J440" s="3"/>
      <c r="K440" s="24"/>
      <c r="L440" s="24"/>
      <c r="M440" s="24"/>
      <c r="N440" s="24"/>
      <c r="O440" s="24"/>
      <c r="P440" s="24"/>
      <c r="R440" s="3"/>
      <c r="S440" s="3"/>
      <c r="T440" s="3"/>
      <c r="U440" s="3"/>
      <c r="V440" s="3"/>
    </row>
    <row r="441" spans="1:22">
      <c r="A441" s="2"/>
      <c r="B441" s="3"/>
      <c r="C441" s="3"/>
      <c r="D441" s="3"/>
      <c r="E441" s="3"/>
      <c r="F441" s="3"/>
      <c r="G441" s="3"/>
      <c r="H441" s="21"/>
      <c r="I441" s="3"/>
      <c r="J441" s="3"/>
      <c r="K441" s="24"/>
      <c r="L441" s="24"/>
      <c r="M441" s="24"/>
      <c r="N441" s="24"/>
      <c r="O441" s="24"/>
      <c r="P441" s="24"/>
      <c r="R441" s="3"/>
      <c r="S441" s="3"/>
      <c r="T441" s="3"/>
      <c r="U441" s="3"/>
      <c r="V441" s="3"/>
    </row>
    <row r="442" spans="1:22">
      <c r="A442" s="2"/>
      <c r="B442" s="3"/>
      <c r="C442" s="3"/>
      <c r="D442" s="3"/>
      <c r="E442" s="3"/>
      <c r="F442" s="3"/>
      <c r="G442" s="3"/>
      <c r="H442" s="21"/>
      <c r="I442" s="3"/>
      <c r="J442" s="3"/>
      <c r="K442" s="24"/>
      <c r="L442" s="24"/>
      <c r="M442" s="24"/>
      <c r="N442" s="24"/>
      <c r="O442" s="24"/>
      <c r="P442" s="24"/>
      <c r="R442" s="3"/>
      <c r="S442" s="3"/>
      <c r="T442" s="3"/>
      <c r="U442" s="3"/>
      <c r="V442" s="3"/>
    </row>
    <row r="443" spans="1:22">
      <c r="A443" s="2"/>
      <c r="B443" s="3"/>
      <c r="C443" s="3"/>
      <c r="D443" s="3"/>
      <c r="E443" s="3"/>
      <c r="F443" s="3"/>
      <c r="G443" s="3"/>
      <c r="H443" s="21"/>
      <c r="I443" s="3"/>
      <c r="J443" s="3"/>
      <c r="K443" s="24"/>
      <c r="L443" s="24"/>
      <c r="M443" s="24"/>
      <c r="N443" s="24"/>
      <c r="O443" s="24"/>
      <c r="P443" s="24"/>
      <c r="R443" s="3"/>
      <c r="S443" s="3"/>
      <c r="T443" s="3"/>
      <c r="U443" s="3"/>
      <c r="V443" s="3"/>
    </row>
    <row r="444" spans="1:22">
      <c r="A444" s="2"/>
      <c r="B444" s="3"/>
      <c r="C444" s="3"/>
      <c r="D444" s="3"/>
      <c r="E444" s="3"/>
      <c r="F444" s="3"/>
      <c r="G444" s="3"/>
      <c r="H444" s="21"/>
      <c r="I444" s="3"/>
      <c r="J444" s="3"/>
      <c r="K444" s="24"/>
      <c r="L444" s="24"/>
      <c r="M444" s="24"/>
      <c r="N444" s="24"/>
      <c r="O444" s="24"/>
      <c r="P444" s="24"/>
      <c r="R444" s="3"/>
      <c r="S444" s="3"/>
      <c r="T444" s="3"/>
      <c r="U444" s="3"/>
      <c r="V444" s="3"/>
    </row>
    <row r="445" spans="1:22">
      <c r="A445" s="2"/>
      <c r="B445" s="3"/>
      <c r="C445" s="3"/>
      <c r="D445" s="3"/>
      <c r="E445" s="3"/>
      <c r="F445" s="3"/>
      <c r="G445" s="3"/>
      <c r="H445" s="21"/>
      <c r="I445" s="3"/>
      <c r="J445" s="3"/>
      <c r="K445" s="24"/>
      <c r="L445" s="24"/>
      <c r="M445" s="24"/>
      <c r="N445" s="24"/>
      <c r="O445" s="24"/>
      <c r="P445" s="24"/>
      <c r="R445" s="3"/>
      <c r="S445" s="3"/>
      <c r="T445" s="3"/>
      <c r="U445" s="3"/>
      <c r="V445" s="3"/>
    </row>
    <row r="446" spans="1:22">
      <c r="A446" s="2"/>
      <c r="B446" s="3"/>
      <c r="C446" s="3"/>
      <c r="D446" s="3"/>
      <c r="E446" s="3"/>
      <c r="F446" s="3"/>
      <c r="G446" s="3"/>
      <c r="H446" s="21"/>
      <c r="I446" s="3"/>
      <c r="J446" s="3"/>
      <c r="K446" s="24"/>
      <c r="L446" s="24"/>
      <c r="M446" s="24"/>
      <c r="N446" s="24"/>
      <c r="O446" s="24"/>
      <c r="P446" s="24"/>
      <c r="R446" s="3"/>
      <c r="S446" s="3"/>
      <c r="T446" s="3"/>
      <c r="U446" s="3"/>
      <c r="V446" s="3"/>
    </row>
    <row r="447" spans="1:22">
      <c r="A447" s="2"/>
      <c r="B447" s="3"/>
      <c r="C447" s="3"/>
      <c r="D447" s="3"/>
      <c r="E447" s="3"/>
      <c r="F447" s="3"/>
      <c r="G447" s="3"/>
      <c r="H447" s="21"/>
      <c r="I447" s="3"/>
      <c r="J447" s="3"/>
      <c r="K447" s="24"/>
      <c r="L447" s="24"/>
      <c r="M447" s="24"/>
      <c r="N447" s="24"/>
      <c r="O447" s="24"/>
      <c r="P447" s="24"/>
      <c r="R447" s="3"/>
      <c r="S447" s="3"/>
      <c r="T447" s="3"/>
      <c r="U447" s="3"/>
      <c r="V447" s="3"/>
    </row>
    <row r="448" spans="1:22">
      <c r="A448" s="2"/>
      <c r="B448" s="3"/>
      <c r="C448" s="3"/>
      <c r="D448" s="3"/>
      <c r="E448" s="3"/>
      <c r="F448" s="3"/>
      <c r="G448" s="3"/>
      <c r="H448" s="21"/>
      <c r="I448" s="3"/>
      <c r="J448" s="3"/>
      <c r="K448" s="24"/>
      <c r="L448" s="24"/>
      <c r="M448" s="24"/>
      <c r="N448" s="24"/>
      <c r="O448" s="24"/>
      <c r="P448" s="24"/>
      <c r="R448" s="3"/>
      <c r="S448" s="3"/>
      <c r="T448" s="3"/>
      <c r="U448" s="3"/>
      <c r="V448" s="3"/>
    </row>
    <row r="449" spans="1:22">
      <c r="A449" s="2"/>
      <c r="B449" s="3"/>
      <c r="C449" s="3"/>
      <c r="D449" s="3"/>
      <c r="E449" s="3"/>
      <c r="F449" s="3"/>
      <c r="G449" s="3"/>
      <c r="H449" s="21"/>
      <c r="I449" s="3"/>
      <c r="J449" s="3"/>
      <c r="K449" s="24"/>
      <c r="L449" s="24"/>
      <c r="M449" s="24"/>
      <c r="N449" s="24"/>
      <c r="O449" s="24"/>
      <c r="P449" s="24"/>
      <c r="R449" s="3"/>
      <c r="S449" s="3"/>
      <c r="T449" s="3"/>
      <c r="U449" s="3"/>
      <c r="V449" s="3"/>
    </row>
    <row r="450" spans="1:22">
      <c r="A450" s="2"/>
      <c r="B450" s="3"/>
      <c r="C450" s="3"/>
      <c r="D450" s="3"/>
      <c r="E450" s="3"/>
      <c r="F450" s="3"/>
      <c r="G450" s="3"/>
      <c r="H450" s="21"/>
      <c r="I450" s="3"/>
      <c r="J450" s="3"/>
      <c r="K450" s="24"/>
      <c r="L450" s="24"/>
      <c r="M450" s="24"/>
      <c r="N450" s="24"/>
      <c r="O450" s="24"/>
      <c r="P450" s="24"/>
      <c r="R450" s="3"/>
      <c r="S450" s="3"/>
      <c r="T450" s="3"/>
      <c r="U450" s="3"/>
      <c r="V450" s="3"/>
    </row>
    <row r="451" spans="1:22">
      <c r="A451" s="2"/>
      <c r="B451" s="3"/>
      <c r="C451" s="3"/>
      <c r="D451" s="3"/>
      <c r="E451" s="3"/>
      <c r="F451" s="3"/>
      <c r="G451" s="3"/>
      <c r="H451" s="21"/>
      <c r="I451" s="3"/>
      <c r="J451" s="3"/>
      <c r="K451" s="24"/>
      <c r="L451" s="24"/>
      <c r="M451" s="24"/>
      <c r="N451" s="24"/>
      <c r="O451" s="24"/>
      <c r="P451" s="24"/>
      <c r="R451" s="3"/>
      <c r="S451" s="3"/>
      <c r="T451" s="3"/>
      <c r="U451" s="3"/>
      <c r="V451" s="3"/>
    </row>
    <row r="452" spans="1:22">
      <c r="A452" s="2"/>
      <c r="B452" s="3"/>
      <c r="C452" s="3"/>
      <c r="D452" s="3"/>
      <c r="E452" s="3"/>
      <c r="F452" s="3"/>
      <c r="G452" s="3"/>
      <c r="H452" s="21"/>
      <c r="I452" s="3"/>
      <c r="J452" s="3"/>
      <c r="K452" s="24"/>
      <c r="L452" s="24"/>
      <c r="M452" s="24"/>
      <c r="N452" s="24"/>
      <c r="O452" s="24"/>
      <c r="P452" s="24"/>
      <c r="R452" s="3"/>
      <c r="S452" s="3"/>
      <c r="T452" s="3"/>
      <c r="U452" s="3"/>
      <c r="V452" s="3"/>
    </row>
    <row r="453" spans="1:22">
      <c r="A453" s="2"/>
      <c r="B453" s="3"/>
      <c r="C453" s="3"/>
      <c r="D453" s="3"/>
      <c r="E453" s="3"/>
      <c r="F453" s="3"/>
      <c r="G453" s="3"/>
      <c r="H453" s="21"/>
      <c r="I453" s="3"/>
      <c r="J453" s="3"/>
      <c r="K453" s="24"/>
      <c r="L453" s="24"/>
      <c r="M453" s="24"/>
      <c r="N453" s="24"/>
      <c r="O453" s="24"/>
      <c r="P453" s="24"/>
      <c r="R453" s="3"/>
      <c r="S453" s="3"/>
      <c r="T453" s="3"/>
      <c r="U453" s="3"/>
      <c r="V453" s="3"/>
    </row>
    <row r="454" spans="1:22">
      <c r="A454" s="2"/>
      <c r="B454" s="3"/>
      <c r="C454" s="3"/>
      <c r="D454" s="3"/>
      <c r="E454" s="3"/>
      <c r="F454" s="3"/>
      <c r="G454" s="3"/>
      <c r="H454" s="21"/>
      <c r="I454" s="3"/>
      <c r="J454" s="3"/>
      <c r="K454" s="24"/>
      <c r="L454" s="24"/>
      <c r="M454" s="24"/>
      <c r="N454" s="24"/>
      <c r="O454" s="24"/>
      <c r="P454" s="24"/>
      <c r="R454" s="3"/>
      <c r="S454" s="3"/>
      <c r="T454" s="3"/>
      <c r="U454" s="3"/>
      <c r="V454" s="3"/>
    </row>
    <row r="455" spans="1:22">
      <c r="A455" s="2"/>
      <c r="B455" s="3"/>
      <c r="C455" s="3"/>
      <c r="D455" s="3"/>
      <c r="E455" s="3"/>
      <c r="F455" s="3"/>
      <c r="G455" s="3"/>
      <c r="H455" s="21"/>
      <c r="I455" s="3"/>
      <c r="J455" s="3"/>
      <c r="K455" s="24"/>
      <c r="L455" s="24"/>
      <c r="M455" s="24"/>
      <c r="N455" s="24"/>
      <c r="O455" s="24"/>
      <c r="P455" s="24"/>
      <c r="R455" s="3"/>
      <c r="S455" s="3"/>
      <c r="T455" s="3"/>
      <c r="U455" s="3"/>
      <c r="V455" s="3"/>
    </row>
    <row r="456" spans="1:22">
      <c r="A456" s="2"/>
      <c r="B456" s="3"/>
      <c r="C456" s="3"/>
      <c r="D456" s="3"/>
      <c r="E456" s="3"/>
      <c r="F456" s="3"/>
      <c r="G456" s="3"/>
      <c r="H456" s="21"/>
      <c r="I456" s="3"/>
      <c r="J456" s="3"/>
      <c r="K456" s="24"/>
      <c r="L456" s="24"/>
      <c r="M456" s="24"/>
      <c r="N456" s="24"/>
      <c r="O456" s="24"/>
      <c r="P456" s="24"/>
      <c r="R456" s="3"/>
      <c r="S456" s="3"/>
      <c r="T456" s="3"/>
      <c r="U456" s="3"/>
      <c r="V456" s="3"/>
    </row>
    <row r="457" spans="1:22">
      <c r="A457" s="2"/>
      <c r="B457" s="3"/>
      <c r="C457" s="3"/>
      <c r="D457" s="3"/>
      <c r="E457" s="3"/>
      <c r="F457" s="3"/>
      <c r="G457" s="3"/>
      <c r="H457" s="21"/>
      <c r="I457" s="3"/>
      <c r="J457" s="3"/>
      <c r="K457" s="24"/>
      <c r="L457" s="24"/>
      <c r="M457" s="24"/>
      <c r="N457" s="24"/>
      <c r="O457" s="24"/>
      <c r="P457" s="24"/>
      <c r="R457" s="3"/>
      <c r="S457" s="3"/>
      <c r="T457" s="3"/>
      <c r="U457" s="3"/>
      <c r="V457" s="3"/>
    </row>
    <row r="458" spans="1:22">
      <c r="A458" s="2"/>
      <c r="B458" s="3"/>
      <c r="C458" s="3"/>
      <c r="D458" s="3"/>
      <c r="E458" s="3"/>
      <c r="F458" s="3"/>
      <c r="G458" s="3"/>
      <c r="H458" s="21"/>
      <c r="I458" s="3"/>
      <c r="J458" s="3"/>
      <c r="K458" s="24"/>
      <c r="L458" s="24"/>
      <c r="M458" s="24"/>
      <c r="N458" s="24"/>
      <c r="O458" s="24"/>
      <c r="P458" s="24"/>
      <c r="R458" s="3"/>
      <c r="S458" s="3"/>
      <c r="T458" s="3"/>
      <c r="U458" s="3"/>
      <c r="V458" s="3"/>
    </row>
    <row r="459" spans="1:22">
      <c r="A459" s="2"/>
      <c r="B459" s="3"/>
      <c r="C459" s="3"/>
      <c r="D459" s="3"/>
      <c r="E459" s="3"/>
      <c r="F459" s="3"/>
      <c r="G459" s="3"/>
      <c r="H459" s="21"/>
      <c r="I459" s="3"/>
      <c r="J459" s="3"/>
      <c r="K459" s="24"/>
      <c r="L459" s="24"/>
      <c r="M459" s="24"/>
      <c r="N459" s="24"/>
      <c r="O459" s="24"/>
      <c r="P459" s="24"/>
      <c r="R459" s="3"/>
      <c r="S459" s="3"/>
      <c r="T459" s="3"/>
      <c r="U459" s="3"/>
      <c r="V459" s="3"/>
    </row>
    <row r="460" spans="1:22">
      <c r="A460" s="2"/>
      <c r="B460" s="3"/>
      <c r="C460" s="3"/>
      <c r="D460" s="3"/>
      <c r="E460" s="3"/>
      <c r="F460" s="3"/>
      <c r="G460" s="3"/>
      <c r="H460" s="21"/>
      <c r="I460" s="3"/>
      <c r="J460" s="3"/>
      <c r="K460" s="24"/>
      <c r="L460" s="24"/>
      <c r="M460" s="24"/>
      <c r="N460" s="24"/>
      <c r="O460" s="24"/>
      <c r="P460" s="24"/>
      <c r="R460" s="3"/>
      <c r="S460" s="3"/>
      <c r="T460" s="3"/>
      <c r="U460" s="3"/>
      <c r="V460" s="3"/>
    </row>
    <row r="461" spans="1:22">
      <c r="A461" s="2"/>
      <c r="B461" s="3"/>
      <c r="C461" s="3"/>
      <c r="D461" s="3"/>
      <c r="E461" s="3"/>
      <c r="F461" s="3"/>
      <c r="G461" s="3"/>
      <c r="H461" s="21"/>
      <c r="I461" s="3"/>
      <c r="J461" s="3"/>
      <c r="K461" s="24"/>
      <c r="L461" s="24"/>
      <c r="M461" s="24"/>
      <c r="N461" s="24"/>
      <c r="O461" s="24"/>
      <c r="P461" s="24"/>
      <c r="R461" s="3"/>
      <c r="S461" s="3"/>
      <c r="T461" s="3"/>
      <c r="U461" s="3"/>
      <c r="V461" s="3"/>
    </row>
    <row r="462" spans="1:22">
      <c r="A462" s="2"/>
      <c r="B462" s="3"/>
      <c r="C462" s="3"/>
      <c r="D462" s="3"/>
      <c r="E462" s="3"/>
      <c r="F462" s="3"/>
      <c r="G462" s="3"/>
      <c r="H462" s="21"/>
      <c r="I462" s="3"/>
      <c r="J462" s="3"/>
      <c r="K462" s="24"/>
      <c r="L462" s="24"/>
      <c r="M462" s="24"/>
      <c r="N462" s="24"/>
      <c r="O462" s="24"/>
      <c r="P462" s="24"/>
      <c r="R462" s="3"/>
      <c r="S462" s="3"/>
      <c r="T462" s="3"/>
      <c r="U462" s="3"/>
      <c r="V462" s="3"/>
    </row>
    <row r="463" spans="1:22">
      <c r="A463" s="2"/>
      <c r="B463" s="3"/>
      <c r="C463" s="3"/>
      <c r="D463" s="3"/>
      <c r="E463" s="3"/>
      <c r="F463" s="3"/>
      <c r="G463" s="3"/>
      <c r="H463" s="21"/>
      <c r="I463" s="3"/>
      <c r="J463" s="3"/>
      <c r="K463" s="24"/>
      <c r="L463" s="24"/>
      <c r="M463" s="24"/>
      <c r="N463" s="24"/>
      <c r="O463" s="24"/>
      <c r="P463" s="24"/>
      <c r="R463" s="3"/>
      <c r="S463" s="3"/>
      <c r="T463" s="3"/>
      <c r="U463" s="3"/>
      <c r="V463" s="3"/>
    </row>
    <row r="464" spans="1:22">
      <c r="A464" s="2"/>
      <c r="B464" s="3"/>
      <c r="C464" s="3"/>
      <c r="D464" s="3"/>
      <c r="E464" s="3"/>
      <c r="F464" s="3"/>
      <c r="G464" s="3"/>
      <c r="H464" s="21"/>
      <c r="I464" s="3"/>
      <c r="J464" s="3"/>
      <c r="K464" s="24"/>
      <c r="L464" s="24"/>
      <c r="M464" s="24"/>
      <c r="N464" s="24"/>
      <c r="O464" s="24"/>
      <c r="P464" s="24"/>
      <c r="R464" s="3"/>
      <c r="S464" s="3"/>
      <c r="T464" s="3"/>
      <c r="U464" s="3"/>
      <c r="V464" s="3"/>
    </row>
    <row r="465" spans="1:22">
      <c r="A465" s="2"/>
      <c r="B465" s="3"/>
      <c r="C465" s="3"/>
      <c r="D465" s="3"/>
      <c r="E465" s="3"/>
      <c r="F465" s="3"/>
      <c r="G465" s="3"/>
      <c r="H465" s="21"/>
      <c r="I465" s="3"/>
      <c r="J465" s="3"/>
      <c r="K465" s="24"/>
      <c r="L465" s="24"/>
      <c r="M465" s="24"/>
      <c r="N465" s="24"/>
      <c r="O465" s="24"/>
      <c r="P465" s="24"/>
      <c r="R465" s="3"/>
      <c r="S465" s="3"/>
      <c r="T465" s="3"/>
      <c r="U465" s="3"/>
      <c r="V465" s="3"/>
    </row>
    <row r="466" spans="1:22">
      <c r="A466" s="2"/>
      <c r="B466" s="3"/>
      <c r="C466" s="3"/>
      <c r="D466" s="3"/>
      <c r="E466" s="3"/>
      <c r="F466" s="3"/>
      <c r="G466" s="3"/>
      <c r="H466" s="21"/>
      <c r="I466" s="3"/>
      <c r="J466" s="3"/>
      <c r="K466" s="24"/>
      <c r="L466" s="24"/>
      <c r="M466" s="24"/>
      <c r="N466" s="24"/>
      <c r="O466" s="24"/>
      <c r="P466" s="24"/>
      <c r="R466" s="3"/>
      <c r="S466" s="3"/>
      <c r="T466" s="3"/>
      <c r="U466" s="3"/>
      <c r="V466" s="3"/>
    </row>
    <row r="467" spans="1:22">
      <c r="A467" s="2"/>
      <c r="B467" s="3"/>
      <c r="C467" s="3"/>
      <c r="D467" s="3"/>
      <c r="E467" s="3"/>
      <c r="F467" s="3"/>
      <c r="G467" s="3"/>
      <c r="H467" s="21"/>
      <c r="I467" s="3"/>
      <c r="J467" s="3"/>
      <c r="K467" s="24"/>
      <c r="L467" s="24"/>
      <c r="M467" s="24"/>
      <c r="N467" s="24"/>
      <c r="O467" s="24"/>
      <c r="P467" s="24"/>
      <c r="R467" s="3"/>
      <c r="S467" s="3"/>
      <c r="T467" s="3"/>
      <c r="U467" s="3"/>
      <c r="V467" s="3"/>
    </row>
    <row r="468" spans="1:22">
      <c r="A468" s="2"/>
      <c r="B468" s="3"/>
      <c r="C468" s="3"/>
      <c r="D468" s="3"/>
      <c r="E468" s="3"/>
      <c r="F468" s="3"/>
      <c r="G468" s="3"/>
      <c r="H468" s="21"/>
      <c r="I468" s="3"/>
      <c r="J468" s="3"/>
      <c r="K468" s="24"/>
      <c r="L468" s="24"/>
      <c r="M468" s="24"/>
      <c r="N468" s="24"/>
      <c r="O468" s="24"/>
      <c r="P468" s="24"/>
      <c r="R468" s="3"/>
      <c r="S468" s="3"/>
      <c r="T468" s="3"/>
      <c r="U468" s="3"/>
      <c r="V468" s="3"/>
    </row>
    <row r="469" spans="1:22">
      <c r="A469" s="2"/>
      <c r="B469" s="3"/>
      <c r="C469" s="3"/>
      <c r="D469" s="3"/>
      <c r="E469" s="3"/>
      <c r="F469" s="3"/>
      <c r="G469" s="3"/>
      <c r="H469" s="21"/>
      <c r="I469" s="3"/>
      <c r="J469" s="3"/>
      <c r="K469" s="24"/>
      <c r="L469" s="24"/>
      <c r="M469" s="24"/>
      <c r="N469" s="24"/>
      <c r="O469" s="24"/>
      <c r="P469" s="24"/>
      <c r="R469" s="3"/>
      <c r="S469" s="3"/>
      <c r="T469" s="3"/>
      <c r="U469" s="3"/>
      <c r="V469" s="3"/>
    </row>
    <row r="470" spans="1:22">
      <c r="A470" s="2"/>
      <c r="B470" s="3"/>
      <c r="C470" s="3"/>
      <c r="D470" s="3"/>
      <c r="E470" s="3"/>
      <c r="F470" s="3"/>
      <c r="G470" s="3"/>
      <c r="H470" s="21"/>
      <c r="I470" s="3"/>
      <c r="J470" s="3"/>
      <c r="K470" s="24"/>
      <c r="L470" s="24"/>
      <c r="M470" s="24"/>
      <c r="N470" s="24"/>
      <c r="O470" s="24"/>
      <c r="P470" s="24"/>
      <c r="R470" s="3"/>
      <c r="S470" s="3"/>
      <c r="T470" s="3"/>
      <c r="U470" s="3"/>
      <c r="V470" s="3"/>
    </row>
    <row r="471" spans="1:22">
      <c r="A471" s="2"/>
      <c r="B471" s="3"/>
      <c r="C471" s="3"/>
      <c r="D471" s="3"/>
      <c r="E471" s="3"/>
      <c r="F471" s="3"/>
      <c r="G471" s="3"/>
      <c r="H471" s="21"/>
      <c r="I471" s="3"/>
      <c r="J471" s="3"/>
      <c r="K471" s="24"/>
      <c r="L471" s="24"/>
      <c r="M471" s="24"/>
      <c r="N471" s="24"/>
      <c r="O471" s="24"/>
      <c r="P471" s="24"/>
      <c r="R471" s="3"/>
      <c r="S471" s="3"/>
      <c r="T471" s="3"/>
      <c r="U471" s="3"/>
      <c r="V471" s="3"/>
    </row>
    <row r="472" spans="1:22">
      <c r="A472" s="2"/>
      <c r="B472" s="3"/>
      <c r="C472" s="3"/>
      <c r="D472" s="3"/>
      <c r="E472" s="3"/>
      <c r="F472" s="3"/>
      <c r="G472" s="3"/>
      <c r="H472" s="21"/>
      <c r="I472" s="3"/>
      <c r="J472" s="3"/>
      <c r="K472" s="24"/>
      <c r="L472" s="24"/>
      <c r="M472" s="24"/>
      <c r="N472" s="24"/>
      <c r="O472" s="24"/>
      <c r="P472" s="24"/>
      <c r="R472" s="3"/>
      <c r="S472" s="3"/>
      <c r="T472" s="3"/>
      <c r="U472" s="3"/>
      <c r="V472" s="3"/>
    </row>
    <row r="473" spans="1:22">
      <c r="A473" s="2"/>
      <c r="B473" s="3"/>
      <c r="C473" s="3"/>
      <c r="D473" s="3"/>
      <c r="E473" s="3"/>
      <c r="F473" s="3"/>
      <c r="G473" s="3"/>
      <c r="H473" s="21"/>
      <c r="I473" s="3"/>
      <c r="J473" s="3"/>
      <c r="K473" s="24"/>
      <c r="L473" s="24"/>
      <c r="M473" s="24"/>
      <c r="N473" s="24"/>
      <c r="O473" s="24"/>
      <c r="P473" s="24"/>
      <c r="R473" s="3"/>
      <c r="S473" s="3"/>
      <c r="T473" s="3"/>
      <c r="U473" s="3"/>
      <c r="V473" s="3"/>
    </row>
    <row r="474" spans="1:22">
      <c r="A474" s="2"/>
      <c r="B474" s="3"/>
      <c r="C474" s="3"/>
      <c r="D474" s="3"/>
      <c r="E474" s="3"/>
      <c r="F474" s="3"/>
      <c r="G474" s="3"/>
      <c r="H474" s="21"/>
      <c r="I474" s="3"/>
      <c r="J474" s="3"/>
      <c r="K474" s="24"/>
      <c r="L474" s="24"/>
      <c r="M474" s="24"/>
      <c r="N474" s="24"/>
      <c r="O474" s="24"/>
      <c r="P474" s="24"/>
      <c r="R474" s="3"/>
      <c r="S474" s="3"/>
      <c r="T474" s="3"/>
      <c r="U474" s="3"/>
      <c r="V474" s="3"/>
    </row>
    <row r="475" spans="1:22">
      <c r="A475" s="2"/>
      <c r="B475" s="3"/>
      <c r="C475" s="3"/>
      <c r="D475" s="3"/>
      <c r="E475" s="3"/>
      <c r="F475" s="3"/>
      <c r="G475" s="3"/>
      <c r="H475" s="21"/>
      <c r="I475" s="3"/>
      <c r="J475" s="3"/>
      <c r="K475" s="24"/>
      <c r="L475" s="24"/>
      <c r="M475" s="24"/>
      <c r="N475" s="24"/>
      <c r="O475" s="24"/>
      <c r="P475" s="24"/>
      <c r="R475" s="3"/>
      <c r="S475" s="3"/>
      <c r="T475" s="3"/>
      <c r="U475" s="3"/>
      <c r="V475" s="3"/>
    </row>
    <row r="476" spans="1:22">
      <c r="A476" s="2"/>
      <c r="B476" s="3"/>
      <c r="C476" s="3"/>
      <c r="D476" s="3"/>
      <c r="E476" s="3"/>
      <c r="F476" s="3"/>
      <c r="G476" s="3"/>
      <c r="H476" s="21"/>
      <c r="I476" s="3"/>
      <c r="J476" s="3"/>
      <c r="K476" s="24"/>
      <c r="L476" s="24"/>
      <c r="M476" s="24"/>
      <c r="N476" s="24"/>
      <c r="O476" s="24"/>
      <c r="P476" s="24"/>
      <c r="R476" s="3"/>
      <c r="S476" s="3"/>
      <c r="T476" s="3"/>
      <c r="U476" s="3"/>
      <c r="V476" s="3"/>
    </row>
    <row r="477" spans="1:22">
      <c r="A477" s="2"/>
      <c r="B477" s="3"/>
      <c r="C477" s="3"/>
      <c r="D477" s="3"/>
      <c r="E477" s="3"/>
      <c r="F477" s="3"/>
      <c r="G477" s="3"/>
      <c r="H477" s="21"/>
      <c r="I477" s="3"/>
      <c r="J477" s="3"/>
      <c r="K477" s="24"/>
      <c r="L477" s="24"/>
      <c r="M477" s="24"/>
      <c r="N477" s="24"/>
      <c r="O477" s="24"/>
      <c r="P477" s="24"/>
      <c r="R477" s="3"/>
      <c r="S477" s="3"/>
      <c r="T477" s="3"/>
      <c r="U477" s="3"/>
      <c r="V477" s="3"/>
    </row>
    <row r="478" spans="1:22">
      <c r="A478" s="2"/>
      <c r="B478" s="3"/>
      <c r="C478" s="3"/>
      <c r="D478" s="3"/>
      <c r="E478" s="3"/>
      <c r="F478" s="3"/>
      <c r="G478" s="3"/>
      <c r="H478" s="21"/>
      <c r="I478" s="3"/>
      <c r="J478" s="3"/>
      <c r="K478" s="24"/>
      <c r="L478" s="24"/>
      <c r="M478" s="24"/>
      <c r="N478" s="24"/>
      <c r="O478" s="24"/>
      <c r="P478" s="24"/>
      <c r="R478" s="3"/>
      <c r="S478" s="3"/>
      <c r="T478" s="3"/>
      <c r="U478" s="3"/>
      <c r="V478" s="3"/>
    </row>
    <row r="479" spans="1:22">
      <c r="A479" s="2"/>
      <c r="B479" s="3"/>
      <c r="C479" s="3"/>
      <c r="D479" s="3"/>
      <c r="E479" s="3"/>
      <c r="F479" s="3"/>
      <c r="G479" s="3"/>
      <c r="H479" s="21"/>
      <c r="I479" s="3"/>
      <c r="J479" s="3"/>
      <c r="K479" s="24"/>
      <c r="L479" s="24"/>
      <c r="M479" s="24"/>
      <c r="N479" s="24"/>
      <c r="O479" s="24"/>
      <c r="P479" s="24"/>
      <c r="R479" s="3"/>
      <c r="S479" s="3"/>
      <c r="T479" s="3"/>
      <c r="U479" s="3"/>
      <c r="V479" s="3"/>
    </row>
    <row r="480" spans="1:22">
      <c r="A480" s="2"/>
      <c r="B480" s="3"/>
      <c r="C480" s="3"/>
      <c r="D480" s="3"/>
      <c r="E480" s="3"/>
      <c r="F480" s="3"/>
      <c r="G480" s="3"/>
      <c r="H480" s="21"/>
      <c r="I480" s="3"/>
      <c r="J480" s="3"/>
      <c r="K480" s="24"/>
      <c r="L480" s="24"/>
      <c r="M480" s="24"/>
      <c r="N480" s="24"/>
      <c r="O480" s="24"/>
      <c r="P480" s="24"/>
      <c r="R480" s="3"/>
      <c r="S480" s="3"/>
      <c r="T480" s="3"/>
      <c r="U480" s="3"/>
      <c r="V480" s="3"/>
    </row>
    <row r="481" spans="1:22">
      <c r="A481" s="2"/>
      <c r="B481" s="3"/>
      <c r="C481" s="3"/>
      <c r="D481" s="3"/>
      <c r="E481" s="3"/>
      <c r="F481" s="3"/>
      <c r="G481" s="3"/>
      <c r="H481" s="21"/>
      <c r="I481" s="3"/>
      <c r="J481" s="3"/>
      <c r="K481" s="24"/>
      <c r="L481" s="24"/>
      <c r="M481" s="24"/>
      <c r="N481" s="24"/>
      <c r="O481" s="24"/>
      <c r="P481" s="24"/>
      <c r="R481" s="3"/>
      <c r="S481" s="3"/>
      <c r="T481" s="3"/>
      <c r="U481" s="3"/>
      <c r="V481" s="3"/>
    </row>
    <row r="482" spans="1:22">
      <c r="A482" s="2"/>
      <c r="B482" s="3"/>
      <c r="C482" s="3"/>
      <c r="D482" s="3"/>
      <c r="E482" s="3"/>
      <c r="F482" s="3"/>
      <c r="G482" s="3"/>
      <c r="H482" s="21"/>
      <c r="I482" s="3"/>
      <c r="J482" s="3"/>
      <c r="K482" s="24"/>
      <c r="L482" s="24"/>
      <c r="M482" s="24"/>
      <c r="N482" s="24"/>
      <c r="O482" s="24"/>
      <c r="P482" s="24"/>
      <c r="R482" s="3"/>
      <c r="S482" s="3"/>
      <c r="T482" s="3"/>
      <c r="U482" s="3"/>
      <c r="V482" s="3"/>
    </row>
    <row r="483" spans="1:22">
      <c r="A483" s="2"/>
      <c r="B483" s="3"/>
      <c r="C483" s="3"/>
      <c r="D483" s="3"/>
      <c r="E483" s="3"/>
      <c r="F483" s="3"/>
      <c r="G483" s="3"/>
      <c r="H483" s="21"/>
      <c r="I483" s="3"/>
      <c r="J483" s="3"/>
      <c r="K483" s="24"/>
      <c r="L483" s="24"/>
      <c r="M483" s="24"/>
      <c r="N483" s="24"/>
      <c r="O483" s="24"/>
      <c r="P483" s="24"/>
      <c r="R483" s="3"/>
      <c r="S483" s="3"/>
      <c r="T483" s="3"/>
      <c r="U483" s="3"/>
      <c r="V483" s="3"/>
    </row>
    <row r="484" spans="1:22">
      <c r="A484" s="2"/>
      <c r="B484" s="3"/>
      <c r="C484" s="3"/>
      <c r="D484" s="3"/>
      <c r="E484" s="3"/>
      <c r="F484" s="3"/>
      <c r="G484" s="3"/>
      <c r="H484" s="21"/>
      <c r="I484" s="3"/>
      <c r="J484" s="3"/>
      <c r="K484" s="24"/>
      <c r="L484" s="24"/>
      <c r="M484" s="24"/>
      <c r="N484" s="24"/>
      <c r="O484" s="24"/>
      <c r="P484" s="24"/>
      <c r="R484" s="3"/>
      <c r="S484" s="3"/>
      <c r="T484" s="3"/>
      <c r="U484" s="3"/>
      <c r="V484" s="3"/>
    </row>
    <row r="485" spans="1:22">
      <c r="A485" s="2"/>
      <c r="B485" s="3"/>
      <c r="C485" s="3"/>
      <c r="D485" s="3"/>
      <c r="E485" s="3"/>
      <c r="F485" s="3"/>
      <c r="G485" s="3"/>
      <c r="H485" s="21"/>
      <c r="I485" s="3"/>
      <c r="J485" s="3"/>
      <c r="K485" s="24"/>
      <c r="L485" s="24"/>
      <c r="M485" s="24"/>
      <c r="N485" s="24"/>
      <c r="O485" s="24"/>
      <c r="P485" s="24"/>
      <c r="R485" s="3"/>
      <c r="S485" s="3"/>
      <c r="T485" s="3"/>
      <c r="U485" s="3"/>
      <c r="V485" s="3"/>
    </row>
    <row r="486" spans="1:22">
      <c r="A486" s="2"/>
      <c r="B486" s="3"/>
      <c r="C486" s="3"/>
      <c r="D486" s="3"/>
      <c r="E486" s="3"/>
      <c r="F486" s="3"/>
      <c r="G486" s="3"/>
      <c r="H486" s="21"/>
      <c r="I486" s="3"/>
      <c r="J486" s="3"/>
      <c r="K486" s="24"/>
      <c r="L486" s="24"/>
      <c r="M486" s="24"/>
      <c r="N486" s="24"/>
      <c r="O486" s="24"/>
      <c r="P486" s="24"/>
      <c r="R486" s="3"/>
      <c r="S486" s="3"/>
      <c r="T486" s="3"/>
      <c r="U486" s="3"/>
      <c r="V486" s="3"/>
    </row>
    <row r="487" spans="1:22">
      <c r="A487" s="2"/>
      <c r="B487" s="3"/>
      <c r="C487" s="3"/>
      <c r="D487" s="3"/>
      <c r="E487" s="3"/>
      <c r="F487" s="3"/>
      <c r="G487" s="3"/>
      <c r="H487" s="21"/>
      <c r="I487" s="3"/>
      <c r="J487" s="3"/>
      <c r="K487" s="24"/>
      <c r="L487" s="24"/>
      <c r="M487" s="24"/>
      <c r="N487" s="24"/>
      <c r="O487" s="24"/>
      <c r="P487" s="24"/>
      <c r="R487" s="3"/>
      <c r="S487" s="3"/>
      <c r="T487" s="3"/>
      <c r="U487" s="3"/>
      <c r="V487" s="3"/>
    </row>
    <row r="488" spans="1:22">
      <c r="A488" s="2"/>
      <c r="B488" s="3"/>
      <c r="C488" s="3"/>
      <c r="D488" s="3"/>
      <c r="E488" s="3"/>
      <c r="F488" s="3"/>
      <c r="G488" s="3"/>
      <c r="H488" s="21"/>
      <c r="I488" s="3"/>
      <c r="J488" s="3"/>
      <c r="K488" s="24"/>
      <c r="L488" s="24"/>
      <c r="M488" s="24"/>
      <c r="N488" s="24"/>
      <c r="O488" s="24"/>
      <c r="P488" s="24"/>
      <c r="R488" s="3"/>
      <c r="S488" s="3"/>
      <c r="T488" s="3"/>
      <c r="U488" s="3"/>
      <c r="V488" s="3"/>
    </row>
    <row r="489" spans="1:22">
      <c r="A489" s="2"/>
      <c r="B489" s="3"/>
      <c r="C489" s="3"/>
      <c r="D489" s="3"/>
      <c r="E489" s="3"/>
      <c r="F489" s="3"/>
      <c r="G489" s="3"/>
      <c r="H489" s="21"/>
      <c r="I489" s="3"/>
      <c r="J489" s="3"/>
      <c r="K489" s="24"/>
      <c r="L489" s="24"/>
      <c r="M489" s="24"/>
      <c r="N489" s="24"/>
      <c r="O489" s="24"/>
      <c r="P489" s="24"/>
      <c r="R489" s="3"/>
      <c r="S489" s="3"/>
      <c r="T489" s="3"/>
      <c r="U489" s="3"/>
      <c r="V489" s="3"/>
    </row>
    <row r="490" spans="1:22">
      <c r="A490" s="2"/>
      <c r="B490" s="3"/>
      <c r="C490" s="3"/>
      <c r="D490" s="3"/>
      <c r="E490" s="3"/>
      <c r="F490" s="3"/>
      <c r="G490" s="3"/>
      <c r="H490" s="21"/>
      <c r="I490" s="3"/>
      <c r="J490" s="3"/>
      <c r="K490" s="24"/>
      <c r="L490" s="24"/>
      <c r="M490" s="24"/>
      <c r="N490" s="24"/>
      <c r="O490" s="24"/>
      <c r="P490" s="24"/>
      <c r="R490" s="3"/>
      <c r="S490" s="3"/>
      <c r="T490" s="3"/>
      <c r="U490" s="3"/>
      <c r="V490" s="3"/>
    </row>
    <row r="491" spans="1:22">
      <c r="A491" s="2"/>
      <c r="B491" s="3"/>
      <c r="C491" s="3"/>
      <c r="D491" s="3"/>
      <c r="E491" s="3"/>
      <c r="F491" s="3"/>
      <c r="G491" s="3"/>
      <c r="H491" s="21"/>
      <c r="I491" s="3"/>
      <c r="J491" s="3"/>
      <c r="K491" s="24"/>
      <c r="L491" s="24"/>
      <c r="M491" s="24"/>
      <c r="N491" s="24"/>
      <c r="O491" s="24"/>
      <c r="P491" s="24"/>
      <c r="R491" s="3"/>
      <c r="S491" s="3"/>
      <c r="T491" s="3"/>
      <c r="U491" s="3"/>
      <c r="V491" s="3"/>
    </row>
    <row r="492" spans="1:22">
      <c r="A492" s="2"/>
      <c r="B492" s="3"/>
      <c r="C492" s="3"/>
      <c r="D492" s="3"/>
      <c r="E492" s="3"/>
      <c r="F492" s="3"/>
      <c r="G492" s="3"/>
      <c r="H492" s="21"/>
      <c r="I492" s="3"/>
      <c r="J492" s="3"/>
      <c r="K492" s="24"/>
      <c r="L492" s="24"/>
      <c r="M492" s="24"/>
      <c r="N492" s="24"/>
      <c r="O492" s="24"/>
      <c r="P492" s="24"/>
      <c r="R492" s="3"/>
      <c r="S492" s="3"/>
      <c r="T492" s="3"/>
      <c r="U492" s="3"/>
      <c r="V492" s="3"/>
    </row>
    <row r="493" spans="1:22">
      <c r="A493" s="2"/>
      <c r="B493" s="3"/>
      <c r="C493" s="3"/>
      <c r="D493" s="3"/>
      <c r="E493" s="3"/>
      <c r="F493" s="3"/>
      <c r="G493" s="3"/>
      <c r="H493" s="21"/>
      <c r="I493" s="3"/>
      <c r="J493" s="3"/>
      <c r="K493" s="24"/>
      <c r="L493" s="24"/>
      <c r="M493" s="24"/>
      <c r="N493" s="24"/>
      <c r="O493" s="24"/>
      <c r="P493" s="24"/>
      <c r="R493" s="3"/>
      <c r="S493" s="3"/>
      <c r="T493" s="3"/>
      <c r="U493" s="3"/>
      <c r="V493" s="3"/>
    </row>
    <row r="494" spans="1:22">
      <c r="A494" s="2"/>
      <c r="B494" s="3"/>
      <c r="C494" s="3"/>
      <c r="D494" s="3"/>
      <c r="E494" s="3"/>
      <c r="F494" s="3"/>
      <c r="G494" s="3"/>
      <c r="H494" s="21"/>
      <c r="I494" s="3"/>
      <c r="J494" s="3"/>
      <c r="K494" s="24"/>
      <c r="L494" s="24"/>
      <c r="M494" s="24"/>
      <c r="N494" s="24"/>
      <c r="O494" s="24"/>
      <c r="P494" s="24"/>
      <c r="R494" s="3"/>
      <c r="S494" s="3"/>
      <c r="T494" s="3"/>
      <c r="U494" s="3"/>
      <c r="V494" s="3"/>
    </row>
    <row r="495" spans="1:22">
      <c r="A495" s="2"/>
      <c r="B495" s="3"/>
      <c r="C495" s="3"/>
      <c r="D495" s="3"/>
      <c r="E495" s="3"/>
      <c r="F495" s="3"/>
      <c r="G495" s="3"/>
      <c r="H495" s="21"/>
      <c r="I495" s="3"/>
      <c r="J495" s="3"/>
      <c r="K495" s="24"/>
      <c r="L495" s="24"/>
      <c r="M495" s="24"/>
      <c r="N495" s="24"/>
      <c r="O495" s="24"/>
      <c r="P495" s="24"/>
      <c r="R495" s="3"/>
      <c r="S495" s="3"/>
      <c r="T495" s="3"/>
      <c r="U495" s="3"/>
      <c r="V495" s="3"/>
    </row>
    <row r="496" spans="1:22">
      <c r="A496" s="2"/>
      <c r="B496" s="3"/>
      <c r="C496" s="3"/>
      <c r="D496" s="3"/>
      <c r="E496" s="3"/>
      <c r="F496" s="3"/>
      <c r="G496" s="3"/>
      <c r="H496" s="21"/>
      <c r="I496" s="3"/>
      <c r="J496" s="3"/>
      <c r="K496" s="24"/>
      <c r="L496" s="24"/>
      <c r="M496" s="24"/>
      <c r="N496" s="24"/>
      <c r="O496" s="24"/>
      <c r="P496" s="24"/>
      <c r="R496" s="3"/>
      <c r="S496" s="3"/>
      <c r="T496" s="3"/>
      <c r="U496" s="3"/>
      <c r="V496" s="3"/>
    </row>
    <row r="497" spans="1:22">
      <c r="A497" s="2"/>
      <c r="B497" s="3"/>
      <c r="C497" s="3"/>
      <c r="D497" s="3"/>
      <c r="E497" s="3"/>
      <c r="F497" s="3"/>
      <c r="G497" s="3"/>
      <c r="H497" s="21"/>
      <c r="I497" s="3"/>
      <c r="J497" s="3"/>
      <c r="K497" s="24"/>
      <c r="L497" s="24"/>
      <c r="M497" s="24"/>
      <c r="N497" s="24"/>
      <c r="O497" s="24"/>
      <c r="P497" s="24"/>
      <c r="R497" s="3"/>
      <c r="S497" s="3"/>
      <c r="T497" s="3"/>
      <c r="U497" s="3"/>
      <c r="V497" s="3"/>
    </row>
    <row r="498" spans="1:22">
      <c r="A498" s="2"/>
      <c r="B498" s="3"/>
      <c r="C498" s="3"/>
      <c r="D498" s="3"/>
      <c r="E498" s="3"/>
      <c r="F498" s="3"/>
      <c r="G498" s="3"/>
      <c r="H498" s="21"/>
      <c r="I498" s="3"/>
      <c r="J498" s="3"/>
      <c r="K498" s="24"/>
      <c r="L498" s="24"/>
      <c r="M498" s="24"/>
      <c r="N498" s="24"/>
      <c r="O498" s="24"/>
      <c r="P498" s="24"/>
      <c r="R498" s="3"/>
      <c r="S498" s="3"/>
      <c r="T498" s="3"/>
      <c r="U498" s="3"/>
      <c r="V498" s="3"/>
    </row>
    <row r="499" spans="1:22">
      <c r="A499" s="2"/>
      <c r="B499" s="3"/>
      <c r="C499" s="3"/>
      <c r="D499" s="3"/>
      <c r="E499" s="3"/>
      <c r="F499" s="3"/>
      <c r="G499" s="3"/>
      <c r="H499" s="21"/>
      <c r="I499" s="3"/>
      <c r="J499" s="3"/>
      <c r="K499" s="24"/>
      <c r="L499" s="24"/>
      <c r="M499" s="24"/>
      <c r="N499" s="24"/>
      <c r="O499" s="24"/>
      <c r="P499" s="24"/>
      <c r="R499" s="3"/>
      <c r="S499" s="3"/>
      <c r="T499" s="3"/>
      <c r="U499" s="3"/>
      <c r="V499" s="3"/>
    </row>
    <row r="500" spans="1:22">
      <c r="A500" s="2"/>
      <c r="B500" s="3"/>
      <c r="C500" s="3"/>
      <c r="D500" s="3"/>
      <c r="E500" s="3"/>
      <c r="F500" s="3"/>
      <c r="G500" s="3"/>
      <c r="H500" s="21"/>
      <c r="I500" s="3"/>
      <c r="J500" s="3"/>
      <c r="K500" s="24"/>
      <c r="L500" s="24"/>
      <c r="M500" s="24"/>
      <c r="N500" s="24"/>
      <c r="O500" s="24"/>
      <c r="P500" s="24"/>
      <c r="R500" s="3"/>
      <c r="S500" s="3"/>
      <c r="T500" s="3"/>
      <c r="U500" s="3"/>
      <c r="V500" s="3"/>
    </row>
    <row r="501" spans="1:22">
      <c r="A501" s="2"/>
      <c r="B501" s="3"/>
      <c r="C501" s="3"/>
      <c r="D501" s="3"/>
      <c r="E501" s="3"/>
      <c r="F501" s="3"/>
      <c r="G501" s="3"/>
      <c r="H501" s="21"/>
      <c r="I501" s="3"/>
      <c r="J501" s="3"/>
      <c r="K501" s="24"/>
      <c r="L501" s="24"/>
      <c r="M501" s="24"/>
      <c r="N501" s="24"/>
      <c r="O501" s="24"/>
      <c r="P501" s="24"/>
      <c r="R501" s="3"/>
      <c r="S501" s="3"/>
      <c r="T501" s="3"/>
      <c r="U501" s="3"/>
      <c r="V501" s="3"/>
    </row>
    <row r="502" spans="1:22">
      <c r="A502" s="2"/>
      <c r="B502" s="3"/>
      <c r="C502" s="3"/>
      <c r="D502" s="3"/>
      <c r="E502" s="3"/>
      <c r="F502" s="3"/>
      <c r="G502" s="3"/>
      <c r="H502" s="21"/>
      <c r="I502" s="3"/>
      <c r="J502" s="3"/>
      <c r="K502" s="24"/>
      <c r="L502" s="24"/>
      <c r="M502" s="24"/>
      <c r="N502" s="24"/>
      <c r="O502" s="24"/>
      <c r="P502" s="24"/>
      <c r="R502" s="3"/>
      <c r="S502" s="3"/>
      <c r="T502" s="3"/>
      <c r="U502" s="3"/>
      <c r="V502" s="3"/>
    </row>
    <row r="503" spans="1:22">
      <c r="A503" s="2"/>
      <c r="B503" s="3"/>
      <c r="C503" s="3"/>
      <c r="D503" s="3"/>
      <c r="E503" s="3"/>
      <c r="F503" s="3"/>
      <c r="G503" s="3"/>
      <c r="H503" s="21"/>
      <c r="I503" s="3"/>
      <c r="J503" s="3"/>
      <c r="K503" s="24"/>
      <c r="L503" s="24"/>
      <c r="M503" s="24"/>
      <c r="N503" s="24"/>
      <c r="O503" s="24"/>
      <c r="P503" s="24"/>
      <c r="R503" s="3"/>
      <c r="S503" s="3"/>
      <c r="T503" s="3"/>
      <c r="U503" s="3"/>
      <c r="V503" s="3"/>
    </row>
    <row r="504" spans="1:22">
      <c r="A504" s="2"/>
      <c r="B504" s="3"/>
      <c r="C504" s="3"/>
      <c r="D504" s="3"/>
      <c r="E504" s="3"/>
      <c r="F504" s="3"/>
      <c r="G504" s="3"/>
      <c r="H504" s="21"/>
      <c r="I504" s="3"/>
      <c r="J504" s="3"/>
      <c r="K504" s="24"/>
      <c r="L504" s="24"/>
      <c r="M504" s="24"/>
      <c r="N504" s="24"/>
      <c r="O504" s="24"/>
      <c r="P504" s="24"/>
      <c r="R504" s="3"/>
      <c r="S504" s="3"/>
      <c r="T504" s="3"/>
      <c r="U504" s="3"/>
      <c r="V504" s="3"/>
    </row>
    <row r="505" spans="1:22">
      <c r="A505" s="2"/>
      <c r="B505" s="3"/>
      <c r="C505" s="3"/>
      <c r="D505" s="3"/>
      <c r="E505" s="3"/>
      <c r="F505" s="3"/>
      <c r="G505" s="3"/>
      <c r="H505" s="21"/>
      <c r="I505" s="3"/>
      <c r="J505" s="3"/>
      <c r="K505" s="24"/>
      <c r="L505" s="24"/>
      <c r="M505" s="24"/>
      <c r="N505" s="24"/>
      <c r="O505" s="24"/>
      <c r="P505" s="24"/>
      <c r="R505" s="3"/>
      <c r="S505" s="3"/>
      <c r="T505" s="3"/>
      <c r="U505" s="3"/>
      <c r="V505" s="3"/>
    </row>
    <row r="506" spans="1:22">
      <c r="A506" s="2"/>
      <c r="B506" s="3"/>
      <c r="C506" s="3"/>
      <c r="D506" s="3"/>
      <c r="E506" s="3"/>
      <c r="F506" s="3"/>
      <c r="G506" s="3"/>
      <c r="H506" s="21"/>
      <c r="I506" s="3"/>
      <c r="J506" s="3"/>
      <c r="K506" s="24"/>
      <c r="L506" s="24"/>
      <c r="M506" s="24"/>
      <c r="N506" s="24"/>
      <c r="O506" s="24"/>
      <c r="P506" s="24"/>
      <c r="R506" s="3"/>
      <c r="S506" s="3"/>
      <c r="T506" s="3"/>
      <c r="U506" s="3"/>
      <c r="V506" s="3"/>
    </row>
    <row r="507" spans="1:22">
      <c r="A507" s="2"/>
      <c r="B507" s="3"/>
      <c r="C507" s="3"/>
      <c r="D507" s="3"/>
      <c r="E507" s="3"/>
      <c r="F507" s="3"/>
      <c r="G507" s="3"/>
      <c r="H507" s="21"/>
      <c r="I507" s="3"/>
      <c r="J507" s="3"/>
      <c r="K507" s="24"/>
      <c r="L507" s="24"/>
      <c r="M507" s="24"/>
      <c r="N507" s="24"/>
      <c r="O507" s="24"/>
      <c r="P507" s="24"/>
      <c r="R507" s="3"/>
      <c r="S507" s="3"/>
      <c r="T507" s="3"/>
      <c r="U507" s="3"/>
      <c r="V507" s="3"/>
    </row>
    <row r="508" spans="1:22">
      <c r="A508" s="2"/>
      <c r="B508" s="3"/>
      <c r="C508" s="3"/>
      <c r="D508" s="3"/>
      <c r="E508" s="3"/>
      <c r="F508" s="3"/>
      <c r="G508" s="3"/>
      <c r="H508" s="21"/>
      <c r="I508" s="3"/>
      <c r="J508" s="3"/>
      <c r="K508" s="24"/>
      <c r="L508" s="24"/>
      <c r="M508" s="24"/>
      <c r="N508" s="24"/>
      <c r="O508" s="24"/>
      <c r="P508" s="24"/>
      <c r="R508" s="3"/>
      <c r="S508" s="3"/>
      <c r="T508" s="3"/>
      <c r="U508" s="3"/>
      <c r="V508" s="3"/>
    </row>
    <row r="509" spans="1:22">
      <c r="A509" s="2"/>
      <c r="B509" s="3"/>
      <c r="C509" s="3"/>
      <c r="D509" s="3"/>
      <c r="E509" s="3"/>
      <c r="F509" s="3"/>
      <c r="G509" s="3"/>
      <c r="H509" s="21"/>
      <c r="I509" s="3"/>
      <c r="J509" s="3"/>
      <c r="K509" s="24"/>
      <c r="L509" s="24"/>
      <c r="M509" s="24"/>
      <c r="N509" s="24"/>
      <c r="O509" s="24"/>
      <c r="P509" s="24"/>
      <c r="R509" s="3"/>
      <c r="S509" s="3"/>
      <c r="T509" s="3"/>
      <c r="U509" s="3"/>
      <c r="V509" s="3"/>
    </row>
    <row r="510" spans="1:22">
      <c r="A510" s="2"/>
      <c r="B510" s="3"/>
      <c r="C510" s="3"/>
      <c r="D510" s="3"/>
      <c r="E510" s="3"/>
      <c r="F510" s="3"/>
      <c r="G510" s="3"/>
      <c r="H510" s="21"/>
      <c r="I510" s="3"/>
      <c r="J510" s="3"/>
      <c r="K510" s="24"/>
      <c r="L510" s="24"/>
      <c r="M510" s="24"/>
      <c r="N510" s="24"/>
      <c r="O510" s="24"/>
      <c r="P510" s="24"/>
      <c r="R510" s="3"/>
      <c r="S510" s="3"/>
      <c r="T510" s="3"/>
      <c r="U510" s="3"/>
      <c r="V510" s="3"/>
    </row>
    <row r="511" spans="1:22">
      <c r="A511" s="2"/>
      <c r="B511" s="3"/>
      <c r="C511" s="3"/>
      <c r="D511" s="3"/>
      <c r="E511" s="3"/>
      <c r="F511" s="3"/>
      <c r="G511" s="3"/>
      <c r="H511" s="21"/>
      <c r="I511" s="3"/>
      <c r="J511" s="3"/>
      <c r="K511" s="24"/>
      <c r="L511" s="24"/>
      <c r="M511" s="24"/>
      <c r="N511" s="24"/>
      <c r="O511" s="24"/>
      <c r="P511" s="24"/>
      <c r="R511" s="3"/>
      <c r="S511" s="3"/>
      <c r="T511" s="3"/>
      <c r="U511" s="3"/>
      <c r="V511" s="3"/>
    </row>
    <row r="512" spans="1:22">
      <c r="A512" s="2"/>
      <c r="B512" s="3"/>
      <c r="C512" s="3"/>
      <c r="D512" s="3"/>
      <c r="E512" s="3"/>
      <c r="F512" s="3"/>
      <c r="G512" s="3"/>
      <c r="H512" s="21"/>
      <c r="I512" s="3"/>
      <c r="J512" s="3"/>
      <c r="K512" s="24"/>
      <c r="L512" s="24"/>
      <c r="M512" s="24"/>
      <c r="N512" s="24"/>
      <c r="O512" s="24"/>
      <c r="P512" s="24"/>
      <c r="R512" s="3"/>
      <c r="S512" s="3"/>
      <c r="T512" s="3"/>
      <c r="U512" s="3"/>
      <c r="V512" s="3"/>
    </row>
    <row r="513" spans="1:22">
      <c r="A513" s="2"/>
      <c r="B513" s="3"/>
      <c r="C513" s="3"/>
      <c r="D513" s="3"/>
      <c r="E513" s="3"/>
      <c r="F513" s="3"/>
      <c r="G513" s="3"/>
      <c r="H513" s="21"/>
      <c r="I513" s="3"/>
      <c r="J513" s="3"/>
      <c r="K513" s="24"/>
      <c r="L513" s="24"/>
      <c r="M513" s="24"/>
      <c r="N513" s="24"/>
      <c r="O513" s="24"/>
      <c r="P513" s="24"/>
      <c r="R513" s="3"/>
      <c r="S513" s="3"/>
      <c r="T513" s="3"/>
      <c r="U513" s="3"/>
      <c r="V513" s="3"/>
    </row>
    <row r="514" spans="1:22">
      <c r="A514" s="2"/>
      <c r="B514" s="3"/>
      <c r="C514" s="3"/>
      <c r="D514" s="3"/>
      <c r="E514" s="3"/>
      <c r="F514" s="3"/>
      <c r="G514" s="3"/>
      <c r="H514" s="21"/>
      <c r="I514" s="3"/>
      <c r="J514" s="3"/>
      <c r="K514" s="24"/>
      <c r="L514" s="24"/>
      <c r="M514" s="24"/>
      <c r="N514" s="24"/>
      <c r="O514" s="24"/>
      <c r="P514" s="24"/>
      <c r="R514" s="3"/>
      <c r="S514" s="3"/>
      <c r="T514" s="3"/>
      <c r="U514" s="3"/>
      <c r="V514" s="3"/>
    </row>
    <row r="515" spans="1:22">
      <c r="A515" s="2"/>
      <c r="B515" s="3"/>
      <c r="C515" s="3"/>
      <c r="D515" s="3"/>
      <c r="E515" s="3"/>
      <c r="F515" s="3"/>
      <c r="G515" s="3"/>
      <c r="H515" s="21"/>
      <c r="I515" s="3"/>
      <c r="J515" s="3"/>
      <c r="K515" s="24"/>
      <c r="L515" s="24"/>
      <c r="M515" s="24"/>
      <c r="N515" s="24"/>
      <c r="O515" s="24"/>
      <c r="P515" s="24"/>
      <c r="R515" s="3"/>
      <c r="S515" s="3"/>
      <c r="T515" s="3"/>
      <c r="U515" s="3"/>
      <c r="V515" s="3"/>
    </row>
    <row r="516" spans="1:22">
      <c r="A516" s="2"/>
      <c r="B516" s="3"/>
      <c r="C516" s="3"/>
      <c r="D516" s="3"/>
      <c r="E516" s="3"/>
      <c r="F516" s="3"/>
      <c r="G516" s="3"/>
      <c r="H516" s="21"/>
      <c r="I516" s="3"/>
      <c r="J516" s="3"/>
      <c r="K516" s="24"/>
      <c r="L516" s="24"/>
      <c r="M516" s="24"/>
      <c r="N516" s="24"/>
      <c r="O516" s="24"/>
      <c r="P516" s="24"/>
      <c r="R516" s="3"/>
      <c r="S516" s="3"/>
      <c r="T516" s="3"/>
      <c r="U516" s="3"/>
      <c r="V516" s="3"/>
    </row>
    <row r="517" spans="1:22">
      <c r="A517" s="2"/>
      <c r="B517" s="3"/>
      <c r="C517" s="3"/>
      <c r="D517" s="3"/>
      <c r="E517" s="3"/>
      <c r="F517" s="3"/>
      <c r="G517" s="3"/>
      <c r="H517" s="21"/>
      <c r="I517" s="3"/>
      <c r="J517" s="3"/>
      <c r="K517" s="24"/>
      <c r="L517" s="24"/>
      <c r="M517" s="24"/>
      <c r="N517" s="24"/>
      <c r="O517" s="24"/>
      <c r="P517" s="24"/>
      <c r="R517" s="3"/>
      <c r="S517" s="3"/>
      <c r="T517" s="3"/>
      <c r="U517" s="3"/>
      <c r="V517" s="3"/>
    </row>
    <row r="518" spans="1:22">
      <c r="A518" s="2"/>
      <c r="B518" s="3"/>
      <c r="C518" s="3"/>
      <c r="D518" s="3"/>
      <c r="E518" s="3"/>
      <c r="F518" s="3"/>
      <c r="G518" s="3"/>
      <c r="H518" s="21"/>
      <c r="I518" s="3"/>
      <c r="J518" s="3"/>
      <c r="K518" s="24"/>
      <c r="L518" s="24"/>
      <c r="M518" s="24"/>
      <c r="N518" s="24"/>
      <c r="O518" s="24"/>
      <c r="P518" s="24"/>
      <c r="R518" s="3"/>
      <c r="S518" s="3"/>
      <c r="T518" s="3"/>
      <c r="U518" s="3"/>
      <c r="V518" s="3"/>
    </row>
  </sheetData>
  <autoFilter ref="A1:V519" xr:uid="{00000000-0001-0000-0000-000000000000}">
    <sortState xmlns:xlrd2="http://schemas.microsoft.com/office/spreadsheetml/2017/richdata2" ref="A2:V518">
      <sortCondition ref="A1:A519"/>
    </sortState>
  </autoFilter>
  <conditionalFormatting sqref="H1:H1048576">
    <cfRule type="cellIs" dxfId="3" priority="1" operator="equal">
      <formula>"No Aplica"</formula>
    </cfRule>
    <cfRule type="cellIs" dxfId="2" priority="2" operator="equal">
      <formula>"Medio"</formula>
    </cfRule>
    <cfRule type="cellIs" dxfId="1" priority="3" operator="equal">
      <formula>"Muy Alto"</formula>
    </cfRule>
    <cfRule type="cellIs" dxfId="0" priority="4" operator="equal">
      <formula>"Alto"</formula>
    </cfRule>
    <cfRule type="colorScale" priority="5">
      <colorScale>
        <cfvo type="min"/>
        <cfvo type="percentile" val="50"/>
        <cfvo type="max"/>
        <color rgb="FFF8696B"/>
        <color rgb="FFFFEB84"/>
        <color rgb="FF63BE7B"/>
      </colorScale>
    </cfRule>
  </conditionalFormatting>
  <dataValidations count="11">
    <dataValidation type="list" allowBlank="1" error="Selecciona un valor de la lista." promptTitle="Riesgo identificado" prompt="Riesgo detectado, si lo hubo" sqref="R37 R34:S35 U34:U35 Q34 T28:T39 T3:T26 T41:T49 T51:T518" xr:uid="{00000000-0002-0000-0000-000009000000}">
      <formula1>"Ninguno,Privacidad o datos,Calidad o precisión,Seguridad,Propiedad intelectual,Otro"</formula1>
      <formula2>0</formula2>
    </dataValidation>
    <dataValidation type="list" allowBlank="1" error="Selecciona un valor de la lista." promptTitle="Rol" prompt="Selecciona el rol" sqref="C3:C518" xr:uid="{00000000-0002-0000-0000-000001000000}">
      <formula1>"PM,LT,DEV"</formula1>
      <formula2>0</formula2>
    </dataValidation>
    <dataValidation type="list" allowBlank="1" error="Selecciona un valor de la lista." promptTitle="Equipo" prompt="Selecciona el equipo" sqref="D3:D518" xr:uid="{00000000-0002-0000-0000-000002000000}">
      <formula1>"App &amp; Ecosistemas,App móvil,Ecosistemas"</formula1>
      <formula2>0</formula2>
    </dataValidation>
    <dataValidation type="list" allowBlank="1" error="Selecciona un valor de la lista." promptTitle="Confianza" prompt="1 = muy baja, 5 = muy alta" sqref="O3:O518" xr:uid="{00000000-0002-0000-0000-000007000000}">
      <formula1>"1,2,3,4,5"</formula1>
      <formula2>0</formula2>
    </dataValidation>
    <dataValidation type="list" allowBlank="1" error="Selecciona un valor de la lista." promptTitle="Validación humana" prompt="¿El output requirió revisión/ajuste humano?" sqref="P3:P518" xr:uid="{00000000-0002-0000-0000-000008000000}">
      <formula1>"Sí,No"</formula1>
      <formula2>0</formula2>
    </dataValidation>
    <dataValidation type="list" allowBlank="1" error="Selecciona un valor de la lista." promptTitle="Tipo de uso" prompt="Para qué se usó específicamente" sqref="J3:J518" xr:uid="{00000000-0002-0000-0000-00000A000000}">
      <formula1>"Generación de código,Refactor,Debugging,Generación de tests,Documentación técnica,Análisis de requerimientos,Redacción de informes,Revisión de código,Otro"</formula1>
      <formula2>0</formula2>
    </dataValidation>
    <dataValidation type="list" allowBlank="1" error="Selecciona un valor de la lista." promptTitle="Colaborador" prompt="Selecciona quién registra" sqref="B3:B518" xr:uid="{00000000-0002-0000-0000-000000000000}">
      <formula1>"Jerson Pacheco,Sergio Galaz,Manuel Zamorano,Moises Lagos,Dennisse Cannobbio,Luis Martinez"</formula1>
      <formula2>0</formula2>
    </dataValidation>
    <dataValidation type="list" allowBlank="1" error="Selecciona un valor de la lista." promptTitle="Nivel de razonamiento" prompt="Reasoning effort / extended thinking usado, si la herramienta lo permite elegir" sqref="H3:H518" xr:uid="{00000000-0002-0000-0000-000005000000}">
      <formula1>"No aplica,Bajo,Medio,Alto,Extendido"</formula1>
      <formula2>0</formula2>
    </dataValidation>
    <dataValidation type="list" allowBlank="1" error="Selecciona un valor de la lista." promptTitle="Tarea / Contexto" prompt="Tipo de actividad en la que se usó IA" sqref="E3:E518" xr:uid="{00000000-0002-0000-0000-000003000000}">
      <formula1>"Desarrollo,Análisis,Documentación,Informes,Testing / QA,Otro"</formula1>
      <formula2>0</formula2>
    </dataValidation>
    <dataValidation type="list" allowBlank="1" error="Selecciona un valor de la lista." promptTitle="Resultado" prompt="Resultado general del uso de IA" sqref="O56 N65:O65 N3:N64 N77:O77 N66:N76 N78:N518" xr:uid="{00000000-0002-0000-0000-000006000000}">
      <formula1>"Éxito,Parcial,Fallido"</formula1>
      <formula2>0</formula2>
    </dataValidation>
    <dataValidation type="list" allowBlank="1" error="Selecciona un valor de la lista." promptTitle="Herramienta IA" prompt="Herramienta utilizada" sqref="F3:F518" xr:uid="{00000000-0002-0000-0000-000004000000}">
      <formula1>"GitHub Copilot Chat,GitHub Copilot Autocompletado,GitHub Copilot Agent Skills,Microsoft Copilot,Google Antigravity,ChatGPT Codex,Claude Code,Claude Cowork,Postbot (Postman AI),Otro"</formula1>
      <formula2>0</formula2>
    </dataValidation>
  </dataValidations>
  <pageMargins left="0.75" right="0.75" top="1" bottom="1" header="0.511811023622047" footer="0.511811023622047"/>
  <pageSetup paperSize="9" orientation="portrait" horizontalDpi="300" verticalDpi="300"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2"/>
  <sheetViews>
    <sheetView showGridLines="0" zoomScaleNormal="100" workbookViewId="0">
      <selection activeCell="E19" sqref="E19"/>
    </sheetView>
  </sheetViews>
  <sheetFormatPr defaultColWidth="8.5703125" defaultRowHeight="15"/>
  <cols>
    <col min="1" max="1" width="32" customWidth="1"/>
    <col min="2" max="2" width="16" customWidth="1"/>
    <col min="3" max="3" width="32" customWidth="1"/>
    <col min="4" max="4" width="16" customWidth="1"/>
  </cols>
  <sheetData>
    <row r="1" spans="1:2" ht="18" customHeight="1">
      <c r="A1" s="5" t="s">
        <v>375</v>
      </c>
    </row>
    <row r="2" spans="1:2">
      <c r="A2" s="6" t="s">
        <v>376</v>
      </c>
    </row>
    <row r="4" spans="1:2">
      <c r="A4" s="7" t="s">
        <v>377</v>
      </c>
    </row>
    <row r="5" spans="1:2">
      <c r="A5" s="8" t="s">
        <v>378</v>
      </c>
      <c r="B5" s="9">
        <f>COUNTA('Registro Diario'!B19:B518)</f>
        <v>67</v>
      </c>
    </row>
    <row r="6" spans="1:2">
      <c r="A6" s="8" t="s">
        <v>379</v>
      </c>
      <c r="B6" s="9">
        <f>SUM('Registro Diario'!L19:L518)</f>
        <v>4209</v>
      </c>
    </row>
    <row r="7" spans="1:2">
      <c r="A7" s="8" t="s">
        <v>380</v>
      </c>
      <c r="B7" s="9">
        <f>SUM('Registro Diario'!M19:M518)</f>
        <v>14445</v>
      </c>
    </row>
    <row r="8" spans="1:2">
      <c r="A8" s="8" t="s">
        <v>381</v>
      </c>
      <c r="B8" s="10">
        <f>IFERROR(AVERAGE('Registro Diario'!O19:O518),0)</f>
        <v>4.7384615384615385</v>
      </c>
    </row>
    <row r="9" spans="1:2">
      <c r="A9" s="8" t="s">
        <v>382</v>
      </c>
      <c r="B9" s="11">
        <f>IFERROR(COUNTIF('Registro Diario'!P19:P518,"Sí")/COUNTA('Registro Diario'!P19:P518),0)</f>
        <v>0.56923076923076921</v>
      </c>
    </row>
    <row r="11" spans="1:2">
      <c r="A11" s="7" t="s">
        <v>383</v>
      </c>
    </row>
    <row r="12" spans="1:2">
      <c r="A12" s="8" t="s">
        <v>87</v>
      </c>
      <c r="B12" s="9">
        <f>COUNTIF('Registro Diario'!N19:N518,"Éxito")</f>
        <v>56</v>
      </c>
    </row>
    <row r="13" spans="1:2">
      <c r="A13" s="8" t="s">
        <v>63</v>
      </c>
      <c r="B13" s="9">
        <f>COUNTIF('Registro Diario'!N19:N518,"Parcial")</f>
        <v>5</v>
      </c>
    </row>
    <row r="14" spans="1:2">
      <c r="A14" s="8" t="s">
        <v>228</v>
      </c>
      <c r="B14" s="9">
        <f>COUNTIF('Registro Diario'!N19:N518,"Fallido")</f>
        <v>2</v>
      </c>
    </row>
    <row r="16" spans="1:2">
      <c r="A16" s="7" t="s">
        <v>384</v>
      </c>
    </row>
    <row r="17" spans="1:2">
      <c r="A17" s="8" t="s">
        <v>133</v>
      </c>
      <c r="B17" s="9">
        <f>COUNTIF('Registro Diario'!F19:F518,"GitHub Copilot Chat")</f>
        <v>6</v>
      </c>
    </row>
    <row r="18" spans="1:2">
      <c r="A18" s="8" t="s">
        <v>385</v>
      </c>
      <c r="B18" s="9">
        <f>COUNTIF('Registro Diario'!F19:F518,"GitHub Copilot Autocompletado")</f>
        <v>0</v>
      </c>
    </row>
    <row r="19" spans="1:2">
      <c r="A19" s="8" t="s">
        <v>51</v>
      </c>
      <c r="B19" s="9">
        <f>COUNTIF('Registro Diario'!F19:F518,"GitHub Copilot Agent Skills")</f>
        <v>26</v>
      </c>
    </row>
    <row r="20" spans="1:2">
      <c r="A20" s="8" t="s">
        <v>98</v>
      </c>
      <c r="B20" s="9">
        <f>COUNTIF('Registro Diario'!F19:F518,"Microsoft Copilot")</f>
        <v>3</v>
      </c>
    </row>
    <row r="21" spans="1:2">
      <c r="A21" s="8" t="s">
        <v>59</v>
      </c>
      <c r="B21" s="9">
        <f>COUNTIF('Registro Diario'!F19:F518,"Google Antigravity")</f>
        <v>11</v>
      </c>
    </row>
    <row r="22" spans="1:2">
      <c r="A22" s="8" t="s">
        <v>386</v>
      </c>
      <c r="B22" s="9">
        <f>COUNTIF('Registro Diario'!F19:F518,"ChatGPT Codex")</f>
        <v>0</v>
      </c>
    </row>
    <row r="23" spans="1:2">
      <c r="A23" s="8" t="s">
        <v>127</v>
      </c>
      <c r="B23" s="9">
        <f>COUNTIF('Registro Diario'!F19:F518,"Claude Code")</f>
        <v>11</v>
      </c>
    </row>
    <row r="24" spans="1:2">
      <c r="A24" s="8" t="s">
        <v>387</v>
      </c>
      <c r="B24" s="9">
        <f>COUNTIF('Registro Diario'!F19:F518,"Claude Cowork")</f>
        <v>0</v>
      </c>
    </row>
    <row r="25" spans="1:2">
      <c r="A25" s="8" t="s">
        <v>388</v>
      </c>
      <c r="B25" s="9">
        <f>COUNTIF('Registro Diario'!F19:F518,"Postbot (Postman AI)")</f>
        <v>0</v>
      </c>
    </row>
    <row r="26" spans="1:2">
      <c r="A26" s="8" t="s">
        <v>75</v>
      </c>
      <c r="B26" s="9">
        <f>COUNTIF('Registro Diario'!F19:F518,"Otro")</f>
        <v>0</v>
      </c>
    </row>
    <row r="28" spans="1:2">
      <c r="A28" s="7" t="s">
        <v>389</v>
      </c>
    </row>
    <row r="29" spans="1:2">
      <c r="A29" s="8" t="s">
        <v>53</v>
      </c>
      <c r="B29" s="9">
        <f>COUNTIF('Registro Diario'!H19:H518,"No aplica")</f>
        <v>8</v>
      </c>
    </row>
    <row r="30" spans="1:2">
      <c r="A30" s="8" t="s">
        <v>340</v>
      </c>
      <c r="B30" s="9">
        <f>COUNTIF('Registro Diario'!H19:H518,"Bajo")</f>
        <v>5</v>
      </c>
    </row>
    <row r="31" spans="1:2">
      <c r="A31" s="8" t="s">
        <v>52</v>
      </c>
      <c r="B31" s="9">
        <f>COUNTIF('Registro Diario'!H19:H518,"Medio")</f>
        <v>15</v>
      </c>
    </row>
    <row r="32" spans="1:2">
      <c r="A32" s="8" t="s">
        <v>61</v>
      </c>
      <c r="B32" s="9">
        <f>COUNTIF('Registro Diario'!H19:H518,"Alto")</f>
        <v>32</v>
      </c>
    </row>
    <row r="33" spans="1:2">
      <c r="A33" s="8" t="s">
        <v>390</v>
      </c>
      <c r="B33" s="9">
        <f>COUNTIF('Registro Diario'!H19:H518,"Extendido")</f>
        <v>0</v>
      </c>
    </row>
    <row r="35" spans="1:2">
      <c r="A35" s="7" t="s">
        <v>391</v>
      </c>
    </row>
    <row r="36" spans="1:2">
      <c r="A36" s="8" t="s">
        <v>54</v>
      </c>
      <c r="B36" s="9">
        <f>COUNTIF('Registro Diario'!J19:J518,"Generación de código")</f>
        <v>19</v>
      </c>
    </row>
    <row r="37" spans="1:2">
      <c r="A37" s="8" t="s">
        <v>121</v>
      </c>
      <c r="B37" s="9">
        <f>COUNTIF('Registro Diario'!J19:J518,"Refactor")</f>
        <v>3</v>
      </c>
    </row>
    <row r="38" spans="1:2">
      <c r="A38" s="8" t="s">
        <v>392</v>
      </c>
      <c r="B38" s="9">
        <f>COUNTIF('Registro Diario'!J19:J518,"Debugging")</f>
        <v>0</v>
      </c>
    </row>
    <row r="39" spans="1:2">
      <c r="A39" s="8" t="s">
        <v>226</v>
      </c>
      <c r="B39" s="9">
        <f>COUNTIF('Registro Diario'!J19:J518,"Generación de tests")</f>
        <v>2</v>
      </c>
    </row>
    <row r="40" spans="1:2">
      <c r="A40" s="8" t="s">
        <v>78</v>
      </c>
      <c r="B40" s="9">
        <f>COUNTIF('Registro Diario'!J19:J518,"Documentación técnica")</f>
        <v>23</v>
      </c>
    </row>
    <row r="41" spans="1:2">
      <c r="A41" s="8" t="s">
        <v>100</v>
      </c>
      <c r="B41" s="9">
        <f>COUNTIF('Registro Diario'!J19:J518,"Análisis de requerimientos")</f>
        <v>18</v>
      </c>
    </row>
    <row r="42" spans="1:2">
      <c r="A42" s="8" t="s">
        <v>239</v>
      </c>
      <c r="B42" s="9">
        <f>COUNTIF('Registro Diario'!J19:J518,"Redacción de informes")</f>
        <v>1</v>
      </c>
    </row>
    <row r="43" spans="1:2">
      <c r="A43" s="8" t="s">
        <v>393</v>
      </c>
      <c r="B43" s="9">
        <f>COUNTIF('Registro Diario'!J19:J518,"Revisión de código")</f>
        <v>0</v>
      </c>
    </row>
    <row r="44" spans="1:2">
      <c r="A44" s="8" t="s">
        <v>75</v>
      </c>
      <c r="B44" s="9">
        <f>COUNTIF('Registro Diario'!J19:J518,"Otro")</f>
        <v>1</v>
      </c>
    </row>
    <row r="46" spans="1:2">
      <c r="A46" s="7" t="s">
        <v>394</v>
      </c>
    </row>
    <row r="47" spans="1:2">
      <c r="A47" s="8" t="s">
        <v>57</v>
      </c>
      <c r="B47" s="9">
        <f>COUNTIF('Registro Diario'!T19:T518,"Ninguno")</f>
        <v>42</v>
      </c>
    </row>
    <row r="48" spans="1:2">
      <c r="A48" s="8" t="s">
        <v>278</v>
      </c>
      <c r="B48" s="9">
        <f>COUNTIF('Registro Diario'!T19:T518,"Privacidad o datos")</f>
        <v>1</v>
      </c>
    </row>
    <row r="49" spans="1:2">
      <c r="A49" s="8" t="s">
        <v>68</v>
      </c>
      <c r="B49" s="9">
        <f>COUNTIF('Registro Diario'!T19:T518,"Calidad o precisión")</f>
        <v>8</v>
      </c>
    </row>
    <row r="50" spans="1:2">
      <c r="A50" s="8" t="s">
        <v>395</v>
      </c>
      <c r="B50" s="9">
        <f>COUNTIF('Registro Diario'!T19:T518,"Seguridad")</f>
        <v>0</v>
      </c>
    </row>
    <row r="51" spans="1:2">
      <c r="A51" s="8" t="s">
        <v>396</v>
      </c>
      <c r="B51" s="9">
        <f>COUNTIF('Registro Diario'!T19:T518,"Propiedad intelectual")</f>
        <v>0</v>
      </c>
    </row>
    <row r="52" spans="1:2">
      <c r="A52" s="8" t="s">
        <v>75</v>
      </c>
      <c r="B52" s="9">
        <f>COUNTIF('Registro Diario'!T19:T518,"Otro")</f>
        <v>1</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3"/>
  <sheetViews>
    <sheetView showGridLines="0" topLeftCell="A14" zoomScaleNormal="100" workbookViewId="0">
      <selection sqref="A1:B1"/>
    </sheetView>
  </sheetViews>
  <sheetFormatPr defaultColWidth="8.5703125" defaultRowHeight="15"/>
  <cols>
    <col min="1" max="1" width="30" customWidth="1"/>
    <col min="2" max="2" width="70" customWidth="1"/>
  </cols>
  <sheetData>
    <row r="1" spans="1:2" ht="18" customHeight="1">
      <c r="A1" s="39" t="s">
        <v>397</v>
      </c>
      <c r="B1" s="39"/>
    </row>
    <row r="2" spans="1:2" ht="60" customHeight="1">
      <c r="A2" s="38" t="s">
        <v>398</v>
      </c>
      <c r="B2" s="38"/>
    </row>
    <row r="3" spans="1:2">
      <c r="A3" s="38"/>
      <c r="B3" s="38"/>
    </row>
    <row r="4" spans="1:2">
      <c r="A4" s="38"/>
      <c r="B4" s="38"/>
    </row>
    <row r="6" spans="1:2">
      <c r="A6" s="12" t="s">
        <v>399</v>
      </c>
      <c r="B6" s="12" t="s">
        <v>400</v>
      </c>
    </row>
    <row r="7" spans="1:2" ht="25.5">
      <c r="A7" s="13" t="s">
        <v>26</v>
      </c>
      <c r="B7" s="3" t="s">
        <v>401</v>
      </c>
    </row>
    <row r="8" spans="1:2">
      <c r="A8" s="13" t="s">
        <v>27</v>
      </c>
      <c r="B8" s="3" t="s">
        <v>402</v>
      </c>
    </row>
    <row r="9" spans="1:2">
      <c r="A9" s="13" t="s">
        <v>28</v>
      </c>
      <c r="B9" s="3" t="s">
        <v>403</v>
      </c>
    </row>
    <row r="10" spans="1:2">
      <c r="A10" s="13" t="s">
        <v>29</v>
      </c>
      <c r="B10" s="3" t="s">
        <v>404</v>
      </c>
    </row>
    <row r="11" spans="1:2" ht="24.75" customHeight="1">
      <c r="A11" s="13" t="s">
        <v>30</v>
      </c>
      <c r="B11" s="3" t="s">
        <v>405</v>
      </c>
    </row>
    <row r="12" spans="1:2">
      <c r="A12" s="13" t="s">
        <v>31</v>
      </c>
      <c r="B12" s="3" t="s">
        <v>406</v>
      </c>
    </row>
    <row r="13" spans="1:2" ht="37.5" customHeight="1">
      <c r="A13" s="13" t="s">
        <v>32</v>
      </c>
      <c r="B13" s="3" t="s">
        <v>407</v>
      </c>
    </row>
    <row r="14" spans="1:2" ht="37.5" customHeight="1">
      <c r="A14" s="13" t="s">
        <v>33</v>
      </c>
      <c r="B14" s="3" t="s">
        <v>408</v>
      </c>
    </row>
    <row r="15" spans="1:2">
      <c r="A15" s="13" t="s">
        <v>35</v>
      </c>
      <c r="B15" s="3" t="s">
        <v>409</v>
      </c>
    </row>
    <row r="16" spans="1:2" ht="24.75" customHeight="1">
      <c r="A16" s="13" t="s">
        <v>37</v>
      </c>
      <c r="B16" s="3" t="s">
        <v>410</v>
      </c>
    </row>
    <row r="17" spans="1:2" ht="24.75" customHeight="1">
      <c r="A17" s="13" t="s">
        <v>38</v>
      </c>
      <c r="B17" s="3" t="s">
        <v>411</v>
      </c>
    </row>
    <row r="18" spans="1:2" ht="24.75" customHeight="1">
      <c r="A18" s="13" t="s">
        <v>39</v>
      </c>
      <c r="B18" s="3" t="s">
        <v>412</v>
      </c>
    </row>
    <row r="19" spans="1:2">
      <c r="A19" s="13" t="s">
        <v>40</v>
      </c>
      <c r="B19" s="3" t="s">
        <v>413</v>
      </c>
    </row>
    <row r="20" spans="1:2">
      <c r="A20" s="13" t="s">
        <v>41</v>
      </c>
      <c r="B20" s="3" t="s">
        <v>414</v>
      </c>
    </row>
    <row r="21" spans="1:2" ht="25.5">
      <c r="A21" s="13" t="s">
        <v>43</v>
      </c>
      <c r="B21" s="3" t="s">
        <v>415</v>
      </c>
    </row>
    <row r="22" spans="1:2">
      <c r="A22" s="13" t="s">
        <v>44</v>
      </c>
      <c r="B22" s="3" t="s">
        <v>416</v>
      </c>
    </row>
    <row r="23" spans="1:2" ht="24.75" customHeight="1">
      <c r="A23" s="13" t="s">
        <v>45</v>
      </c>
      <c r="B23" s="3" t="s">
        <v>417</v>
      </c>
    </row>
    <row r="24" spans="1:2" ht="25.5">
      <c r="A24" s="13" t="s">
        <v>46</v>
      </c>
      <c r="B24" s="3" t="s">
        <v>418</v>
      </c>
    </row>
    <row r="25" spans="1:2">
      <c r="A25" s="13" t="s">
        <v>47</v>
      </c>
      <c r="B25" s="3" t="s">
        <v>419</v>
      </c>
    </row>
    <row r="26" spans="1:2" ht="38.25">
      <c r="A26" s="13" t="s">
        <v>36</v>
      </c>
      <c r="B26" s="3" t="s">
        <v>420</v>
      </c>
    </row>
    <row r="27" spans="1:2" ht="38.25">
      <c r="A27" s="13" t="s">
        <v>34</v>
      </c>
      <c r="B27" s="3" t="s">
        <v>421</v>
      </c>
    </row>
    <row r="29" spans="1:2">
      <c r="A29" s="7" t="s">
        <v>422</v>
      </c>
    </row>
    <row r="30" spans="1:2">
      <c r="A30" s="12" t="s">
        <v>399</v>
      </c>
      <c r="B30" s="12" t="s">
        <v>423</v>
      </c>
    </row>
    <row r="31" spans="1:2">
      <c r="A31" s="14" t="s">
        <v>26</v>
      </c>
      <c r="B31" s="15" t="s">
        <v>424</v>
      </c>
    </row>
    <row r="32" spans="1:2">
      <c r="A32" s="14" t="s">
        <v>27</v>
      </c>
      <c r="B32" s="15" t="s">
        <v>22</v>
      </c>
    </row>
    <row r="33" spans="1:2">
      <c r="A33" s="14" t="s">
        <v>28</v>
      </c>
      <c r="B33" s="15" t="s">
        <v>238</v>
      </c>
    </row>
    <row r="34" spans="1:2">
      <c r="A34" s="14" t="s">
        <v>29</v>
      </c>
      <c r="B34" s="15" t="s">
        <v>292</v>
      </c>
    </row>
    <row r="35" spans="1:2">
      <c r="A35" s="14" t="s">
        <v>30</v>
      </c>
      <c r="B35" s="15" t="s">
        <v>126</v>
      </c>
    </row>
    <row r="36" spans="1:2">
      <c r="A36" s="14" t="s">
        <v>31</v>
      </c>
      <c r="B36" s="15" t="s">
        <v>133</v>
      </c>
    </row>
    <row r="37" spans="1:2">
      <c r="A37" s="14" t="s">
        <v>32</v>
      </c>
      <c r="B37" s="15" t="s">
        <v>425</v>
      </c>
    </row>
    <row r="38" spans="1:2">
      <c r="A38" s="14" t="s">
        <v>33</v>
      </c>
      <c r="B38" s="15" t="s">
        <v>52</v>
      </c>
    </row>
    <row r="39" spans="1:2">
      <c r="A39" s="14" t="s">
        <v>35</v>
      </c>
      <c r="B39" s="15" t="s">
        <v>78</v>
      </c>
    </row>
    <row r="40" spans="1:2">
      <c r="A40" s="14" t="s">
        <v>37</v>
      </c>
      <c r="B40" s="15">
        <v>20</v>
      </c>
    </row>
    <row r="41" spans="1:2">
      <c r="A41" s="14" t="s">
        <v>38</v>
      </c>
      <c r="B41" s="15">
        <v>45</v>
      </c>
    </row>
    <row r="42" spans="1:2">
      <c r="A42" s="14" t="s">
        <v>39</v>
      </c>
      <c r="B42" s="15" t="s">
        <v>87</v>
      </c>
    </row>
    <row r="43" spans="1:2">
      <c r="A43" s="14" t="s">
        <v>40</v>
      </c>
      <c r="B43" s="15">
        <v>4</v>
      </c>
    </row>
    <row r="44" spans="1:2">
      <c r="A44" s="14" t="s">
        <v>41</v>
      </c>
      <c r="B44" s="15" t="s">
        <v>64</v>
      </c>
    </row>
    <row r="45" spans="1:2">
      <c r="A45" s="14" t="s">
        <v>43</v>
      </c>
      <c r="B45" s="15" t="s">
        <v>426</v>
      </c>
    </row>
    <row r="46" spans="1:2">
      <c r="A46" s="14" t="s">
        <v>44</v>
      </c>
      <c r="B46" s="15" t="s">
        <v>427</v>
      </c>
    </row>
    <row r="47" spans="1:2">
      <c r="A47" s="14" t="s">
        <v>45</v>
      </c>
      <c r="B47" s="15" t="s">
        <v>57</v>
      </c>
    </row>
    <row r="48" spans="1:2">
      <c r="A48" s="14" t="s">
        <v>46</v>
      </c>
      <c r="B48" s="15" t="s">
        <v>428</v>
      </c>
    </row>
    <row r="49" spans="1:2">
      <c r="A49" s="40" t="s">
        <v>47</v>
      </c>
      <c r="B49" s="40" t="s">
        <v>429</v>
      </c>
    </row>
    <row r="50" spans="1:2">
      <c r="A50" s="14" t="s">
        <v>36</v>
      </c>
      <c r="B50" s="15">
        <v>12500</v>
      </c>
    </row>
    <row r="51" spans="1:2">
      <c r="A51" s="14" t="s">
        <v>34</v>
      </c>
      <c r="B51" s="15" t="s">
        <v>430</v>
      </c>
    </row>
    <row r="53" spans="1:2">
      <c r="A53" s="6" t="s">
        <v>431</v>
      </c>
    </row>
  </sheetData>
  <mergeCells count="3">
    <mergeCell ref="A1:B1"/>
    <mergeCell ref="A2:B4"/>
    <mergeCell ref="A49:B49"/>
  </mergeCell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26FF0037AEB5174C9F87C531A8798048" ma:contentTypeVersion="19" ma:contentTypeDescription="Crear nuevo documento." ma:contentTypeScope="" ma:versionID="307f0f1515586e352bcbc95a53b1a254">
  <xsd:schema xmlns:xsd="http://www.w3.org/2001/XMLSchema" xmlns:xs="http://www.w3.org/2001/XMLSchema" xmlns:p="http://schemas.microsoft.com/office/2006/metadata/properties" xmlns:ns1="http://schemas.microsoft.com/sharepoint/v3" xmlns:ns2="7e426652-b8b9-4fcf-a833-e4514ba8170c" xmlns:ns3="5f67ef62-b871-45b8-8f25-a43af160b678" targetNamespace="http://schemas.microsoft.com/office/2006/metadata/properties" ma:root="true" ma:fieldsID="bbd00a4f67a067c5b200c8cb78744897" ns1:_="" ns2:_="" ns3:_="">
    <xsd:import namespace="http://schemas.microsoft.com/sharepoint/v3"/>
    <xsd:import namespace="7e426652-b8b9-4fcf-a833-e4514ba8170c"/>
    <xsd:import namespace="5f67ef62-b871-45b8-8f25-a43af160b678"/>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DateTaken"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1:_ip_UnifiedCompliancePolicyProperties" minOccurs="0"/>
                <xsd:element ref="ns1:_ip_UnifiedCompliancePolicyUIAc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Propiedades de la Directiva de cumplimiento unificado" ma:hidden="true" ma:internalName="_ip_UnifiedCompliancePolicyProperties">
      <xsd:simpleType>
        <xsd:restriction base="dms:Note"/>
      </xsd:simpleType>
    </xsd:element>
    <xsd:element name="_ip_UnifiedCompliancePolicyUIAction" ma:index="21"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426652-b8b9-4fcf-a833-e4514ba8170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Etiquetas de imagen" ma:readOnly="false" ma:fieldId="{5cf76f15-5ced-4ddc-b409-7134ff3c332f}" ma:taxonomyMulti="true" ma:sspId="6e5f636c-1434-476a-83bc-48c49dabe90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f67ef62-b871-45b8-8f25-a43af160b678"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4" nillable="true" ma:displayName="Taxonomy Catch All Column" ma:hidden="true" ma:list="{91d62ebd-40e3-4579-bf7c-cfbf5db875c6}" ma:internalName="TaxCatchAll" ma:showField="CatchAllData" ma:web="5f67ef62-b871-45b8-8f25-a43af160b67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7e426652-b8b9-4fcf-a833-e4514ba8170c">
      <Terms xmlns="http://schemas.microsoft.com/office/infopath/2007/PartnerControls"/>
    </lcf76f155ced4ddcb4097134ff3c332f>
    <_ip_UnifiedCompliancePolicyProperties xmlns="http://schemas.microsoft.com/sharepoint/v3" xsi:nil="true"/>
    <TaxCatchAll xmlns="5f67ef62-b871-45b8-8f25-a43af160b678" xsi:nil="true"/>
  </documentManagement>
</p:properties>
</file>

<file path=customXml/itemProps1.xml><?xml version="1.0" encoding="utf-8"?>
<ds:datastoreItem xmlns:ds="http://schemas.openxmlformats.org/officeDocument/2006/customXml" ds:itemID="{BA1BA65D-2495-4A4A-957F-2EECF88780AF}"/>
</file>

<file path=customXml/itemProps2.xml><?xml version="1.0" encoding="utf-8"?>
<ds:datastoreItem xmlns:ds="http://schemas.openxmlformats.org/officeDocument/2006/customXml" ds:itemID="{3B86A825-CE64-4B91-9B98-24B97BE0B666}"/>
</file>

<file path=customXml/itemProps3.xml><?xml version="1.0" encoding="utf-8"?>
<ds:datastoreItem xmlns:ds="http://schemas.openxmlformats.org/officeDocument/2006/customXml" ds:itemID="{360FFFDA-8B18-4D8A-BB08-4BFC387BB00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Jerson Javier Pacheco Orellana</dc:creator>
  <cp:keywords/>
  <dc:description/>
  <cp:lastModifiedBy/>
  <cp:revision>0</cp:revision>
  <dcterms:created xsi:type="dcterms:W3CDTF">2026-09-07T19:49:25Z</dcterms:created>
  <dcterms:modified xsi:type="dcterms:W3CDTF">2026-10-23T12:48:28Z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0x01010026FF0037AEB5174C9F87C531A8798048</vt:lpwstr>
  </property>
  <property fmtid="{D5CDD505-2E9C-101B-9397-08002B2CF9AE}" pid="3" name="MSIP_Label_282f3407-cbe8-4c4b-b6e1-b8bf75ed813e_Enabled">
    <vt:lpwstr>true</vt:lpwstr>
  </property>
  <property fmtid="{D5CDD505-2E9C-101B-9397-08002B2CF9AE}" pid="4" name="MSIP_Label_282f3407-cbe8-4c4b-b6e1-b8bf75ed813e_SetDate">
    <vt:lpwstr>2026-09-07T19:49:25Z</vt:lpwstr>
  </property>
  <property fmtid="{D5CDD505-2E9C-101B-9397-08002B2CF9AE}" pid="5" name="MSIP_Label_282f3407-cbe8-4c4b-b6e1-b8bf75ed813e_Method">
    <vt:lpwstr>Standard</vt:lpwstr>
  </property>
  <property fmtid="{D5CDD505-2E9C-101B-9397-08002B2CF9AE}" pid="6" name="MSIP_Label_282f3407-cbe8-4c4b-b6e1-b8bf75ed813e_Name">
    <vt:lpwstr>Interna</vt:lpwstr>
  </property>
  <property fmtid="{D5CDD505-2E9C-101B-9397-08002B2CF9AE}" pid="7" name="MSIP_Label_282f3407-cbe8-4c4b-b6e1-b8bf75ed813e_SiteId">
    <vt:lpwstr>94b3f690-d47c-46e9-845d-0a4ea3253bc4</vt:lpwstr>
  </property>
  <property fmtid="{D5CDD505-2E9C-101B-9397-08002B2CF9AE}" pid="8" name="MSIP_Label_282f3407-cbe8-4c4b-b6e1-b8bf75ed813e_ActionId">
    <vt:lpwstr>ae94c920-2f7a-49bb-9c40-68118212c3ab</vt:lpwstr>
  </property>
  <property fmtid="{D5CDD505-2E9C-101B-9397-08002B2CF9AE}" pid="9" name="MSIP_Label_282f3407-cbe8-4c4b-b6e1-b8bf75ed813e_ContentBits">
    <vt:lpwstr>0</vt:lpwstr>
  </property>
  <property fmtid="{D5CDD505-2E9C-101B-9397-08002B2CF9AE}" pid="10" name="MediaServiceImageTags">
    <vt:lpwstr/>
  </property>
</Properties>
</file>